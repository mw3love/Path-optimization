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측정표(배포용)_전북" sheetId="1" r:id="rId5"/>
  </sheets>
  <definedNames/>
  <calcPr/>
</workbook>
</file>

<file path=xl/sharedStrings.xml><?xml version="1.0" encoding="utf-8"?>
<sst xmlns="http://schemas.openxmlformats.org/spreadsheetml/2006/main" count="1267" uniqueCount="1077">
  <si>
    <t>자동계산</t>
  </si>
  <si>
    <t>01_KBS영일 (558kHz)</t>
  </si>
  <si>
    <t>02_KBS백산 (567kHz)</t>
  </si>
  <si>
    <t>03_KBS남양 (603kHz)</t>
  </si>
  <si>
    <t>04_KBS신월 (630kHz)</t>
  </si>
  <si>
    <t>05_KBS사농 (657kHz)</t>
  </si>
  <si>
    <t>06_KBS경산 (738kHz)</t>
  </si>
  <si>
    <t>07_KBS경포 (864kHz)</t>
  </si>
  <si>
    <t>08_KBS김해 (891kHz)</t>
  </si>
  <si>
    <t>09_KBS안동 (963kHz)</t>
  </si>
  <si>
    <t>10_KBS FM (아무거나)</t>
  </si>
  <si>
    <t>전체</t>
  </si>
  <si>
    <t>측정지명</t>
  </si>
  <si>
    <t>주소</t>
  </si>
  <si>
    <t>위도</t>
  </si>
  <si>
    <t>경도</t>
  </si>
  <si>
    <t>AM 오디오
(청음)
[안동/경산 포함]</t>
  </si>
  <si>
    <t>전계강도
(dBuV/m)
[안동/경산 포함]</t>
  </si>
  <si>
    <t>송신점
[안동/경산 포함]</t>
  </si>
  <si>
    <t>동영상URL</t>
  </si>
  <si>
    <t>사진URL</t>
  </si>
  <si>
    <t>AM 오디오
(청음)
 [안동/경산 제외]</t>
  </si>
  <si>
    <t>전계강도
(dBuV/m)
[안동/경산 제외]</t>
  </si>
  <si>
    <t>송신점
[안동/경산 제외]</t>
  </si>
  <si>
    <t>파일명</t>
  </si>
  <si>
    <t>오디오
(청음)</t>
  </si>
  <si>
    <t>전계강도
(dBuV/m)</t>
  </si>
  <si>
    <t>동영상_URL</t>
  </si>
  <si>
    <t>주파수
 (MHz)</t>
  </si>
  <si>
    <t>NA</t>
  </si>
  <si>
    <t>Point_Name</t>
  </si>
  <si>
    <t>Address_1</t>
  </si>
  <si>
    <t>Address_2</t>
  </si>
  <si>
    <t>Address_3</t>
  </si>
  <si>
    <t>Address_4</t>
  </si>
  <si>
    <t>Latitude</t>
  </si>
  <si>
    <t>Longitude</t>
  </si>
  <si>
    <t>A_QoS_Sum</t>
  </si>
  <si>
    <t>FS_Sum_QoS</t>
  </si>
  <si>
    <t>Tx</t>
  </si>
  <si>
    <t>URL1</t>
  </si>
  <si>
    <t>URL2</t>
  </si>
  <si>
    <t>A_QoS_Sum_IF</t>
  </si>
  <si>
    <t>Tx_IF</t>
  </si>
  <si>
    <t>URL1_IF</t>
  </si>
  <si>
    <t>URL2_IF</t>
  </si>
  <si>
    <t>A_ID_01</t>
  </si>
  <si>
    <t>A_QoS_01</t>
  </si>
  <si>
    <t>A_ID_01_URL</t>
  </si>
  <si>
    <t>FS_01</t>
  </si>
  <si>
    <t>FS_ID_01_URL</t>
  </si>
  <si>
    <t>A_ID_02</t>
  </si>
  <si>
    <t>A_QoS_02</t>
  </si>
  <si>
    <t>A_ID_02_URL</t>
  </si>
  <si>
    <t>FS_02</t>
  </si>
  <si>
    <t>FS_ID_02_URL</t>
  </si>
  <si>
    <t>A_ID_03</t>
  </si>
  <si>
    <t>A_QoS_03</t>
  </si>
  <si>
    <t>A_ID_03_URL</t>
  </si>
  <si>
    <t>FS_03</t>
  </si>
  <si>
    <t>FS_ID_03_URL</t>
  </si>
  <si>
    <t>A_ID_04</t>
  </si>
  <si>
    <t>A_QoS_04</t>
  </si>
  <si>
    <t>A_ID_04_URL</t>
  </si>
  <si>
    <t>FS_04</t>
  </si>
  <si>
    <t>FS_ID_04_URL</t>
  </si>
  <si>
    <t>A_ID_05</t>
  </si>
  <si>
    <t>A_QoS_05</t>
  </si>
  <si>
    <t>A_ID_05_URL</t>
  </si>
  <si>
    <t>FS_05</t>
  </si>
  <si>
    <t>FS_ID_05_URL</t>
  </si>
  <si>
    <t>A_ID_06</t>
  </si>
  <si>
    <t>A_QoS_06</t>
  </si>
  <si>
    <t>A_ID_06_URL</t>
  </si>
  <si>
    <t>FS_06</t>
  </si>
  <si>
    <t>FS_ID_06_URL</t>
  </si>
  <si>
    <t>A_ID_07</t>
  </si>
  <si>
    <t>A_QoS_07</t>
  </si>
  <si>
    <t>A_ID_07_URL</t>
  </si>
  <si>
    <t>FS_07</t>
  </si>
  <si>
    <t>FS_ID_07_URL</t>
  </si>
  <si>
    <t>A_ID_08</t>
  </si>
  <si>
    <t>A_QoS_08</t>
  </si>
  <si>
    <t>A_ID_08_URL</t>
  </si>
  <si>
    <t>FS_08</t>
  </si>
  <si>
    <t>FS_ID_08_URL</t>
  </si>
  <si>
    <t>A_ID_09</t>
  </si>
  <si>
    <t>A_QoS_09</t>
  </si>
  <si>
    <t>A_ID_09_URL</t>
  </si>
  <si>
    <t>FS_09</t>
  </si>
  <si>
    <t>FS_ID_09_URL</t>
  </si>
  <si>
    <t>A_ID_10</t>
  </si>
  <si>
    <t>A_QoS_10</t>
  </si>
  <si>
    <t>A_ID_10_URL</t>
  </si>
  <si>
    <t>FREQ_10</t>
  </si>
  <si>
    <t>동촌경로당</t>
  </si>
  <si>
    <t>전북특별자치도</t>
  </si>
  <si>
    <t>고창군</t>
  </si>
  <si>
    <t>공음면 석교리 550-1</t>
  </si>
  <si>
    <t>전북특별자치도 고창군 공음면 석교리 550-1</t>
  </si>
  <si>
    <t>1026-558</t>
  </si>
  <si>
    <t>1026-567</t>
  </si>
  <si>
    <t>1026-603</t>
  </si>
  <si>
    <t>1026-630</t>
  </si>
  <si>
    <t>1026-657</t>
  </si>
  <si>
    <t>1026-738</t>
  </si>
  <si>
    <t>1026-864</t>
  </si>
  <si>
    <t>1026-891</t>
  </si>
  <si>
    <t>1026-963</t>
  </si>
  <si>
    <t>1026-FM</t>
  </si>
  <si>
    <t>신평경로당</t>
  </si>
  <si>
    <t>대산면 광대리 583-1</t>
  </si>
  <si>
    <t>전북특별자치도 고창군 대산면 광대리 583-1</t>
  </si>
  <si>
    <t>1027-558</t>
  </si>
  <si>
    <t>1027-567</t>
  </si>
  <si>
    <t>1027-603</t>
  </si>
  <si>
    <t>1027-630</t>
  </si>
  <si>
    <t>1027-657</t>
  </si>
  <si>
    <t>1027-738</t>
  </si>
  <si>
    <t>1027-864</t>
  </si>
  <si>
    <t>1027-891</t>
  </si>
  <si>
    <t>1027-963</t>
  </si>
  <si>
    <t>1027-FM</t>
  </si>
  <si>
    <t>대산게이트볼장</t>
  </si>
  <si>
    <t>대산면 매산리 198-22</t>
  </si>
  <si>
    <t>전북특별자치도 고창군 대산면 매산리 198-22</t>
  </si>
  <si>
    <t>1028-558</t>
  </si>
  <si>
    <t>1028-567</t>
  </si>
  <si>
    <t>1028-603</t>
  </si>
  <si>
    <t>1028-630</t>
  </si>
  <si>
    <t>1028-657</t>
  </si>
  <si>
    <t>1028-738</t>
  </si>
  <si>
    <t>1028-864</t>
  </si>
  <si>
    <t>1028-891</t>
  </si>
  <si>
    <t>1028-963</t>
  </si>
  <si>
    <t>1028-FM</t>
  </si>
  <si>
    <t>구동경로당</t>
  </si>
  <si>
    <t>대산면 회룡리 301-1</t>
  </si>
  <si>
    <t>전북특별자치도 고창군 대산면 회룡리 301-1</t>
  </si>
  <si>
    <t>1029-558</t>
  </si>
  <si>
    <t>1029-567</t>
  </si>
  <si>
    <t>1029-603</t>
  </si>
  <si>
    <t>1029-630</t>
  </si>
  <si>
    <t>1029-657</t>
  </si>
  <si>
    <t>1029-738</t>
  </si>
  <si>
    <t>1029-864</t>
  </si>
  <si>
    <t>1029-891</t>
  </si>
  <si>
    <t>1029-963</t>
  </si>
  <si>
    <t>1029-FM</t>
  </si>
  <si>
    <t>남원골프연습장</t>
  </si>
  <si>
    <t>남원시</t>
  </si>
  <si>
    <t>광치동 471-1</t>
  </si>
  <si>
    <t>전북특별자치도 남원시 광치동 471-1</t>
  </si>
  <si>
    <t>1030-558</t>
  </si>
  <si>
    <t>1030-567</t>
  </si>
  <si>
    <t>1030-603</t>
  </si>
  <si>
    <t>1030-630</t>
  </si>
  <si>
    <t>1030-657</t>
  </si>
  <si>
    <t>1030-738</t>
  </si>
  <si>
    <t>1030-864</t>
  </si>
  <si>
    <t>1030-891</t>
  </si>
  <si>
    <t>1030-963</t>
  </si>
  <si>
    <t>1030-FM</t>
  </si>
  <si>
    <t>금지중학교</t>
  </si>
  <si>
    <t>금지면 옹정리 589-1</t>
  </si>
  <si>
    <t>전북특별자치도 남원시 금지면 옹정리 589-1</t>
  </si>
  <si>
    <t>1031-558</t>
  </si>
  <si>
    <t>1031-567</t>
  </si>
  <si>
    <t>1031-603</t>
  </si>
  <si>
    <t>1031-630</t>
  </si>
  <si>
    <t>1031-657</t>
  </si>
  <si>
    <t>1031-738</t>
  </si>
  <si>
    <t>1031-864</t>
  </si>
  <si>
    <t>1031-891</t>
  </si>
  <si>
    <t>1031-963</t>
  </si>
  <si>
    <t>1031-FM</t>
  </si>
  <si>
    <t>하대치경로당</t>
  </si>
  <si>
    <t>대강면 송대리 661</t>
  </si>
  <si>
    <t>전북특별자치도 남원시 대강면 송대리 661</t>
  </si>
  <si>
    <t>1032-558</t>
  </si>
  <si>
    <t>1032-567</t>
  </si>
  <si>
    <t>1032-603</t>
  </si>
  <si>
    <t>1032-630</t>
  </si>
  <si>
    <t>1032-657</t>
  </si>
  <si>
    <t>1032-738</t>
  </si>
  <si>
    <t>1032-864</t>
  </si>
  <si>
    <t>1032-891</t>
  </si>
  <si>
    <t>1032-963</t>
  </si>
  <si>
    <t>1032-FM</t>
  </si>
  <si>
    <t>남원상록골프장</t>
  </si>
  <si>
    <t>대산면 대곡리 1059-1</t>
  </si>
  <si>
    <t>전북특별자치도 남원시 대산면 대곡리 1059-1</t>
  </si>
  <si>
    <t>1033-558</t>
  </si>
  <si>
    <t>1033-567</t>
  </si>
  <si>
    <t>1033-603</t>
  </si>
  <si>
    <t>1033-630</t>
  </si>
  <si>
    <t>1033-657</t>
  </si>
  <si>
    <t>1033-738</t>
  </si>
  <si>
    <t>1033-864</t>
  </si>
  <si>
    <t>1033-891</t>
  </si>
  <si>
    <t>1033-963</t>
  </si>
  <si>
    <t>1033-FM</t>
  </si>
  <si>
    <t>골프존카운티드래곤(9홀)</t>
  </si>
  <si>
    <t>대산면 옥율리 929</t>
  </si>
  <si>
    <t>전북특별자치도 남원시 대산면 옥율리 929</t>
  </si>
  <si>
    <t>1034-558</t>
  </si>
  <si>
    <t>1034-567</t>
  </si>
  <si>
    <t>1034-603</t>
  </si>
  <si>
    <t>1034-630</t>
  </si>
  <si>
    <t>1034-657</t>
  </si>
  <si>
    <t>1034-738</t>
  </si>
  <si>
    <t>1034-864</t>
  </si>
  <si>
    <t>1034-891</t>
  </si>
  <si>
    <t>1034-963</t>
  </si>
  <si>
    <t>1034-FM</t>
  </si>
  <si>
    <t>사곡경로당</t>
  </si>
  <si>
    <t>덕과면 사율리 257-2</t>
  </si>
  <si>
    <t>전북특별자치도 남원시 덕과면 사율리 257-2</t>
  </si>
  <si>
    <t>1035-558</t>
  </si>
  <si>
    <t>1035-567</t>
  </si>
  <si>
    <t>1035-603</t>
  </si>
  <si>
    <t>1035-630</t>
  </si>
  <si>
    <t>1035-657</t>
  </si>
  <si>
    <t>1035-738</t>
  </si>
  <si>
    <t>1035-864</t>
  </si>
  <si>
    <t>1035-891</t>
  </si>
  <si>
    <t>1035-963</t>
  </si>
  <si>
    <t>1035-FM</t>
  </si>
  <si>
    <t>남원시청</t>
  </si>
  <si>
    <t>도통동 518</t>
  </si>
  <si>
    <t>전북특별자치도 남원시 도통동 518</t>
  </si>
  <si>
    <t>1036-558</t>
  </si>
  <si>
    <t>1036-567</t>
  </si>
  <si>
    <t>1036-603</t>
  </si>
  <si>
    <t>1036-630</t>
  </si>
  <si>
    <t>1036-657</t>
  </si>
  <si>
    <t>1036-738</t>
  </si>
  <si>
    <t>1036-864</t>
  </si>
  <si>
    <t>1036-891</t>
  </si>
  <si>
    <t>1036-963</t>
  </si>
  <si>
    <t>1036-FM</t>
  </si>
  <si>
    <t>서당경로당</t>
  </si>
  <si>
    <t>보절면 서치리 464-3</t>
  </si>
  <si>
    <t>전북특별자치도 남원시 보절면 서치리 464-3</t>
  </si>
  <si>
    <t>1037-558</t>
  </si>
  <si>
    <t>1037-567</t>
  </si>
  <si>
    <t>1037-603</t>
  </si>
  <si>
    <t>1037-630</t>
  </si>
  <si>
    <t>1037-657</t>
  </si>
  <si>
    <t>1037-738</t>
  </si>
  <si>
    <t>1037-864</t>
  </si>
  <si>
    <t>1037-891</t>
  </si>
  <si>
    <t>1037-963</t>
  </si>
  <si>
    <t>1037-FM</t>
  </si>
  <si>
    <t>성남경로당</t>
  </si>
  <si>
    <t>보절면 성시리 772-2</t>
  </si>
  <si>
    <t>전북특별자치도 남원시 보절면 성시리 772-2</t>
  </si>
  <si>
    <t>1038-558</t>
  </si>
  <si>
    <t>1038-567</t>
  </si>
  <si>
    <t>1038-603</t>
  </si>
  <si>
    <t>1038-630</t>
  </si>
  <si>
    <t>1038-657</t>
  </si>
  <si>
    <t>1038-738</t>
  </si>
  <si>
    <t>1038-864</t>
  </si>
  <si>
    <t>1038-891</t>
  </si>
  <si>
    <t>1038-963</t>
  </si>
  <si>
    <t>1038-FM</t>
  </si>
  <si>
    <t>하황경로당</t>
  </si>
  <si>
    <t>산내면 중황리 821-1</t>
  </si>
  <si>
    <t>전북특별자치도 남원시 산내면 중황리 821-1</t>
  </si>
  <si>
    <t>1039-558</t>
  </si>
  <si>
    <t>1039-567</t>
  </si>
  <si>
    <t>1039-603</t>
  </si>
  <si>
    <t>1039-630</t>
  </si>
  <si>
    <t>1039-657</t>
  </si>
  <si>
    <t>1039-738</t>
  </si>
  <si>
    <t>1039-864</t>
  </si>
  <si>
    <t>1039-891</t>
  </si>
  <si>
    <t>1039-963</t>
  </si>
  <si>
    <t>1039-FM</t>
  </si>
  <si>
    <t>상신경로당</t>
  </si>
  <si>
    <t>산동면 대상리 604</t>
  </si>
  <si>
    <t>전북특별자치도 남원시 산동면 대상리 604</t>
  </si>
  <si>
    <t>1040-558</t>
  </si>
  <si>
    <t>1040-567</t>
  </si>
  <si>
    <t>1040-603</t>
  </si>
  <si>
    <t>1040-630</t>
  </si>
  <si>
    <t>1040-657</t>
  </si>
  <si>
    <t>1040-738</t>
  </si>
  <si>
    <t>1040-864</t>
  </si>
  <si>
    <t>1040-891</t>
  </si>
  <si>
    <t>1040-963</t>
  </si>
  <si>
    <t>1040-FM</t>
  </si>
  <si>
    <t>신풍경로당</t>
  </si>
  <si>
    <t>산동면 태평리 536-1</t>
  </si>
  <si>
    <t>전북특별자치도 남원시 산동면 태평리 536-1</t>
  </si>
  <si>
    <t>1041-558</t>
  </si>
  <si>
    <t>1041-567</t>
  </si>
  <si>
    <t>1041-603</t>
  </si>
  <si>
    <t>1041-630</t>
  </si>
  <si>
    <t>1041-657</t>
  </si>
  <si>
    <t>1041-738</t>
  </si>
  <si>
    <t>1041-864</t>
  </si>
  <si>
    <t>1041-891</t>
  </si>
  <si>
    <t>1041-963</t>
  </si>
  <si>
    <t>1041-FM</t>
  </si>
  <si>
    <t>송동중학교</t>
  </si>
  <si>
    <t>송동면 신평리 48-3</t>
  </si>
  <si>
    <t>전북특별자치도 남원시 송동면 신평리 48-3</t>
  </si>
  <si>
    <t>1042-558</t>
  </si>
  <si>
    <t>1042-567</t>
  </si>
  <si>
    <t>1042-603</t>
  </si>
  <si>
    <t>1042-630</t>
  </si>
  <si>
    <t>1042-657</t>
  </si>
  <si>
    <t>1042-738</t>
  </si>
  <si>
    <t>1042-864</t>
  </si>
  <si>
    <t>1042-891</t>
  </si>
  <si>
    <t>1042-963</t>
  </si>
  <si>
    <t>1042-FM</t>
  </si>
  <si>
    <t>진곡경로당</t>
  </si>
  <si>
    <t>수지면 고평리 477-4</t>
  </si>
  <si>
    <t>전북특별자치도 남원시 수지면 고평리 477-4</t>
  </si>
  <si>
    <t>1043-558</t>
  </si>
  <si>
    <t>1043-567</t>
  </si>
  <si>
    <t>1043-603</t>
  </si>
  <si>
    <t>1043-630</t>
  </si>
  <si>
    <t>1043-657</t>
  </si>
  <si>
    <t>1043-738</t>
  </si>
  <si>
    <t>1043-864</t>
  </si>
  <si>
    <t>1043-891</t>
  </si>
  <si>
    <t>1043-963</t>
  </si>
  <si>
    <t>1043-FM</t>
  </si>
  <si>
    <t>가정경로당</t>
  </si>
  <si>
    <t>수지면 산정리 301-1</t>
  </si>
  <si>
    <t>전북특별자치도 남원시 수지면 산정리 301-1</t>
  </si>
  <si>
    <t>1044-558</t>
  </si>
  <si>
    <t>1044-567</t>
  </si>
  <si>
    <t>1044-603</t>
  </si>
  <si>
    <t>1044-630</t>
  </si>
  <si>
    <t>1044-657</t>
  </si>
  <si>
    <t>1044-738</t>
  </si>
  <si>
    <t>1044-864</t>
  </si>
  <si>
    <t>1044-891</t>
  </si>
  <si>
    <t>1044-963</t>
  </si>
  <si>
    <t>1044-FM</t>
  </si>
  <si>
    <t>구상경로당</t>
  </si>
  <si>
    <t>아영면 구상리 234-4</t>
  </si>
  <si>
    <t>전북특별자치도 남원시 아영면 구상리 234-4</t>
  </si>
  <si>
    <t>1045-558</t>
  </si>
  <si>
    <t>1045-567</t>
  </si>
  <si>
    <t>1045-603</t>
  </si>
  <si>
    <t>1045-630</t>
  </si>
  <si>
    <t>1045-657</t>
  </si>
  <si>
    <t>1045-738</t>
  </si>
  <si>
    <t>1045-864</t>
  </si>
  <si>
    <t>1045-891</t>
  </si>
  <si>
    <t>1045-963</t>
  </si>
  <si>
    <t>1045-FM</t>
  </si>
  <si>
    <t>아곡경로당</t>
  </si>
  <si>
    <t>아영면 아곡리 636-1</t>
  </si>
  <si>
    <t>전북특별자치도 남원시 아영면 아곡리 636-1</t>
  </si>
  <si>
    <t>1046-558</t>
  </si>
  <si>
    <t>1046-567</t>
  </si>
  <si>
    <t>1046-603</t>
  </si>
  <si>
    <t>1046-630</t>
  </si>
  <si>
    <t>1046-657</t>
  </si>
  <si>
    <t>1046-738</t>
  </si>
  <si>
    <t>1046-864</t>
  </si>
  <si>
    <t>1046-891</t>
  </si>
  <si>
    <t>1046-963</t>
  </si>
  <si>
    <t>1046-FM</t>
  </si>
  <si>
    <t>운봉읍 주차장(1,2지구)</t>
  </si>
  <si>
    <t>운봉읍 서천리 165-28</t>
  </si>
  <si>
    <t>전북특별자치도 남원시 운봉읍 서천리 165-28</t>
  </si>
  <si>
    <t>1047-558</t>
  </si>
  <si>
    <t>1047-567</t>
  </si>
  <si>
    <t>1047-603</t>
  </si>
  <si>
    <t>1047-630</t>
  </si>
  <si>
    <t>1047-657</t>
  </si>
  <si>
    <t>1047-738</t>
  </si>
  <si>
    <t>1047-864</t>
  </si>
  <si>
    <t>1047-891</t>
  </si>
  <si>
    <t>1047-963</t>
  </si>
  <si>
    <t>1047-FM</t>
  </si>
  <si>
    <t>문화체육센터테니스장</t>
  </si>
  <si>
    <t>이백면 서곡리 153</t>
  </si>
  <si>
    <t>전북특별자치도 남원시 이백면 서곡리 153</t>
  </si>
  <si>
    <t>1048-558</t>
  </si>
  <si>
    <t>1048-567</t>
  </si>
  <si>
    <t>1048-603</t>
  </si>
  <si>
    <t>1048-630</t>
  </si>
  <si>
    <t>1048-657</t>
  </si>
  <si>
    <t>1048-738</t>
  </si>
  <si>
    <t>1048-864</t>
  </si>
  <si>
    <t>1048-891</t>
  </si>
  <si>
    <t>1048-963</t>
  </si>
  <si>
    <t>1048-FM</t>
  </si>
  <si>
    <t>덕실경로당</t>
  </si>
  <si>
    <t>인월면 취암리 9-40</t>
  </si>
  <si>
    <t>전북특별자치도 남원시 인월면 취암리 9-40</t>
  </si>
  <si>
    <t>1049-558</t>
  </si>
  <si>
    <t>1049-567</t>
  </si>
  <si>
    <t>1049-603</t>
  </si>
  <si>
    <t>1049-630</t>
  </si>
  <si>
    <t>1049-657</t>
  </si>
  <si>
    <t>1049-738</t>
  </si>
  <si>
    <t>1049-864</t>
  </si>
  <si>
    <t>1049-891</t>
  </si>
  <si>
    <t>1049-963</t>
  </si>
  <si>
    <t>1049-FM</t>
  </si>
  <si>
    <t>노치경로당</t>
  </si>
  <si>
    <t>주천면 덕치리 5-1</t>
  </si>
  <si>
    <t>전북특별자치도 남원시 주천면 덕치리 5-1</t>
  </si>
  <si>
    <t>1050-558</t>
  </si>
  <si>
    <t>1050-567</t>
  </si>
  <si>
    <t>1050-603</t>
  </si>
  <si>
    <t>1050-630</t>
  </si>
  <si>
    <t>1050-657</t>
  </si>
  <si>
    <t>1050-738</t>
  </si>
  <si>
    <t>1050-864</t>
  </si>
  <si>
    <t>1050-891</t>
  </si>
  <si>
    <t>1050-963</t>
  </si>
  <si>
    <t>1050-FM</t>
  </si>
  <si>
    <t>원천초등학교</t>
  </si>
  <si>
    <t>주천면 장안리 248</t>
  </si>
  <si>
    <t>전북특별자치도 남원시 주천면 장안리 248</t>
  </si>
  <si>
    <t>1051-558</t>
  </si>
  <si>
    <t>1051-567</t>
  </si>
  <si>
    <t>1051-603</t>
  </si>
  <si>
    <t>1051-630</t>
  </si>
  <si>
    <t>1051-657</t>
  </si>
  <si>
    <t>1051-738</t>
  </si>
  <si>
    <t>1051-864</t>
  </si>
  <si>
    <t>1051-891</t>
  </si>
  <si>
    <t>1051-963</t>
  </si>
  <si>
    <t>1051-FM</t>
  </si>
  <si>
    <t>추동경로당</t>
  </si>
  <si>
    <t>무주군</t>
  </si>
  <si>
    <t>무주읍 용포리 638-1</t>
  </si>
  <si>
    <t>전북특별자치도 무주군 무주읍 용포리 638-1</t>
  </si>
  <si>
    <t>1052-558</t>
  </si>
  <si>
    <t>1052-567</t>
  </si>
  <si>
    <t>1052-603</t>
  </si>
  <si>
    <t>1052-630</t>
  </si>
  <si>
    <t>1052-657</t>
  </si>
  <si>
    <t>1052-738</t>
  </si>
  <si>
    <t>1052-864</t>
  </si>
  <si>
    <t>1052-891</t>
  </si>
  <si>
    <t>1052-963</t>
  </si>
  <si>
    <t>1052-FM</t>
  </si>
  <si>
    <t>무주중학교 본관</t>
  </si>
  <si>
    <t>무주읍 읍내리 355-5</t>
  </si>
  <si>
    <t>전북특별자치도 무주군 무주읍 읍내리 355-5</t>
  </si>
  <si>
    <t>1053-558</t>
  </si>
  <si>
    <t>1053-567</t>
  </si>
  <si>
    <t>1053-603</t>
  </si>
  <si>
    <t>1053-630</t>
  </si>
  <si>
    <t>1053-657</t>
  </si>
  <si>
    <t>1053-738</t>
  </si>
  <si>
    <t>1053-864</t>
  </si>
  <si>
    <t>1053-891</t>
  </si>
  <si>
    <t>1053-963</t>
  </si>
  <si>
    <t>1053-FM</t>
  </si>
  <si>
    <t>하장백할머니경로당</t>
  </si>
  <si>
    <t>무주읍 장백리 526-1</t>
  </si>
  <si>
    <t>전북특별자치도 무주군 무주읍 장백리 526-1</t>
  </si>
  <si>
    <t>1054-558</t>
  </si>
  <si>
    <t>1054-567</t>
  </si>
  <si>
    <t>1054-603</t>
  </si>
  <si>
    <t>1054-630</t>
  </si>
  <si>
    <t>1054-657</t>
  </si>
  <si>
    <t>1054-738</t>
  </si>
  <si>
    <t>1054-864</t>
  </si>
  <si>
    <t>1054-891</t>
  </si>
  <si>
    <t>1054-963</t>
  </si>
  <si>
    <t>1054-FM</t>
  </si>
  <si>
    <t>마덕경로당</t>
  </si>
  <si>
    <t>무풍면 금평리 950-1</t>
  </si>
  <si>
    <t>전북특별자치도 무주군 무풍면 금평리 950-1</t>
  </si>
  <si>
    <t>1055-558</t>
  </si>
  <si>
    <t>1055-567</t>
  </si>
  <si>
    <t>1055-603</t>
  </si>
  <si>
    <t>1055-630</t>
  </si>
  <si>
    <t>1055-657</t>
  </si>
  <si>
    <t>1055-738</t>
  </si>
  <si>
    <t>1055-864</t>
  </si>
  <si>
    <t>1055-891</t>
  </si>
  <si>
    <t>1055-963</t>
  </si>
  <si>
    <t>1055-FM</t>
  </si>
  <si>
    <t>도마경로당</t>
  </si>
  <si>
    <t>무풍면 덕지리 265</t>
  </si>
  <si>
    <t>전북특별자치도 무주군 무풍면 덕지리 265</t>
  </si>
  <si>
    <t>1056-558</t>
  </si>
  <si>
    <t>1056-567</t>
  </si>
  <si>
    <t>1056-603</t>
  </si>
  <si>
    <t>1056-630</t>
  </si>
  <si>
    <t>1056-657</t>
  </si>
  <si>
    <t>1056-738</t>
  </si>
  <si>
    <t>1056-864</t>
  </si>
  <si>
    <t>1056-891</t>
  </si>
  <si>
    <t>1056-963</t>
  </si>
  <si>
    <t>1056-FM</t>
  </si>
  <si>
    <t>삼거경로당</t>
  </si>
  <si>
    <t>무풍면 삼거리 78-1</t>
  </si>
  <si>
    <t>전북특별자치도 무주군 무풍면 삼거리 78-1</t>
  </si>
  <si>
    <t>1057-558</t>
  </si>
  <si>
    <t>1057-567</t>
  </si>
  <si>
    <t>1057-603</t>
  </si>
  <si>
    <t>1057-630</t>
  </si>
  <si>
    <t>1057-657</t>
  </si>
  <si>
    <t>1057-738</t>
  </si>
  <si>
    <t>1057-864</t>
  </si>
  <si>
    <t>1057-891</t>
  </si>
  <si>
    <t>1057-963</t>
  </si>
  <si>
    <t>1057-FM</t>
  </si>
  <si>
    <t>은고경로당</t>
  </si>
  <si>
    <t>무풍면 은산리 767-1</t>
  </si>
  <si>
    <t>전북특별자치도 무주군 무풍면 은산리 767-1</t>
  </si>
  <si>
    <t>1058-558</t>
  </si>
  <si>
    <t>1058-567</t>
  </si>
  <si>
    <t>1058-603</t>
  </si>
  <si>
    <t>1058-630</t>
  </si>
  <si>
    <t>1058-657</t>
  </si>
  <si>
    <t>1058-738</t>
  </si>
  <si>
    <t>1058-864</t>
  </si>
  <si>
    <t>1058-891</t>
  </si>
  <si>
    <t>1058-963</t>
  </si>
  <si>
    <t>1058-FM</t>
  </si>
  <si>
    <t>무풍중학교</t>
  </si>
  <si>
    <t>무풍면 현내리 503</t>
  </si>
  <si>
    <t>전북특별자치도 무주군 무풍면 현내리 503</t>
  </si>
  <si>
    <t>1059-558</t>
  </si>
  <si>
    <t>1059-567</t>
  </si>
  <si>
    <t>1059-603</t>
  </si>
  <si>
    <t>1059-630</t>
  </si>
  <si>
    <t>1059-657</t>
  </si>
  <si>
    <t>1059-738</t>
  </si>
  <si>
    <t>1059-864</t>
  </si>
  <si>
    <t>1059-891</t>
  </si>
  <si>
    <t>1059-963</t>
  </si>
  <si>
    <t>1059-FM</t>
  </si>
  <si>
    <t>부당초등학교</t>
  </si>
  <si>
    <t>부남면 가당리 448-2</t>
  </si>
  <si>
    <t>전북특별자치도 무주군 부남면 가당리 448-2</t>
  </si>
  <si>
    <t>1060-558</t>
  </si>
  <si>
    <t>1060-567</t>
  </si>
  <si>
    <t>1060-603</t>
  </si>
  <si>
    <t>1060-630</t>
  </si>
  <si>
    <t>1060-657</t>
  </si>
  <si>
    <t>1060-738</t>
  </si>
  <si>
    <t>1060-864</t>
  </si>
  <si>
    <t>1060-891</t>
  </si>
  <si>
    <t>1060-963</t>
  </si>
  <si>
    <t>1060-FM</t>
  </si>
  <si>
    <t>고창할머니경로당</t>
  </si>
  <si>
    <t>부남면 고창리 304-1</t>
  </si>
  <si>
    <t>전북특별자치도 무주군 부남면 고창리 304-1</t>
  </si>
  <si>
    <t>1061-558</t>
  </si>
  <si>
    <t>1061-567</t>
  </si>
  <si>
    <t>1061-603</t>
  </si>
  <si>
    <t>1061-630</t>
  </si>
  <si>
    <t>1061-657</t>
  </si>
  <si>
    <t>1061-738</t>
  </si>
  <si>
    <t>1061-864</t>
  </si>
  <si>
    <t>1061-891</t>
  </si>
  <si>
    <t>1061-963</t>
  </si>
  <si>
    <t>1061-FM</t>
  </si>
  <si>
    <t>장안경로당</t>
  </si>
  <si>
    <t>부남면 장안리 144-5</t>
  </si>
  <si>
    <t>전북특별자치도 무주군 부남면 장안리 144-5</t>
  </si>
  <si>
    <t>1062-558</t>
  </si>
  <si>
    <t>1062-567</t>
  </si>
  <si>
    <t>1062-603</t>
  </si>
  <si>
    <t>1062-630</t>
  </si>
  <si>
    <t>1062-657</t>
  </si>
  <si>
    <t>1062-738</t>
  </si>
  <si>
    <t>1062-864</t>
  </si>
  <si>
    <t>1062-891</t>
  </si>
  <si>
    <t>1062-963</t>
  </si>
  <si>
    <t>1062-FM</t>
  </si>
  <si>
    <t>월현경로당</t>
  </si>
  <si>
    <t>설천면 두길리 1692-2</t>
  </si>
  <si>
    <t>전북특별자치도 무주군 설천면 두길리 1692-2</t>
  </si>
  <si>
    <t>1063-558</t>
  </si>
  <si>
    <t>1063-567</t>
  </si>
  <si>
    <t>1063-603</t>
  </si>
  <si>
    <t>1063-630</t>
  </si>
  <si>
    <t>1063-657</t>
  </si>
  <si>
    <t>1063-738</t>
  </si>
  <si>
    <t>1063-864</t>
  </si>
  <si>
    <t>1063-891</t>
  </si>
  <si>
    <t>1063-963</t>
  </si>
  <si>
    <t>1063-FM</t>
  </si>
  <si>
    <t>나림경로당</t>
  </si>
  <si>
    <t>설천면 소천리 131-6</t>
  </si>
  <si>
    <t>전북특별자치도 무주군 설천면 소천리 131-6</t>
  </si>
  <si>
    <t>1064-558</t>
  </si>
  <si>
    <t>1064-567</t>
  </si>
  <si>
    <t>1064-603</t>
  </si>
  <si>
    <t>1064-630</t>
  </si>
  <si>
    <t>1064-657</t>
  </si>
  <si>
    <t>1064-738</t>
  </si>
  <si>
    <t>1064-864</t>
  </si>
  <si>
    <t>1064-891</t>
  </si>
  <si>
    <t>1064-963</t>
  </si>
  <si>
    <t>1064-FM</t>
  </si>
  <si>
    <t>관서경로당</t>
  </si>
  <si>
    <t>설천면 심곡리 1061</t>
  </si>
  <si>
    <t>전북특별자치도 무주군 설천면 심곡리 1061</t>
  </si>
  <si>
    <t>1065-558</t>
  </si>
  <si>
    <t>1065-567</t>
  </si>
  <si>
    <t>1065-603</t>
  </si>
  <si>
    <t>1065-630</t>
  </si>
  <si>
    <t>1065-657</t>
  </si>
  <si>
    <t>1065-738</t>
  </si>
  <si>
    <t>1065-864</t>
  </si>
  <si>
    <t>1065-891</t>
  </si>
  <si>
    <t>1065-963</t>
  </si>
  <si>
    <t>1065-FM</t>
  </si>
  <si>
    <t>반딧불 청소년 수련원</t>
  </si>
  <si>
    <t>설천면 청량리 1100</t>
  </si>
  <si>
    <t>전북특별자치도 무주군 설천면 청량리 1100</t>
  </si>
  <si>
    <t>1066-558</t>
  </si>
  <si>
    <t>1066-567</t>
  </si>
  <si>
    <t>1066-603</t>
  </si>
  <si>
    <t>1066-630</t>
  </si>
  <si>
    <t>1066-657</t>
  </si>
  <si>
    <t>1066-738</t>
  </si>
  <si>
    <t>1066-864</t>
  </si>
  <si>
    <t>1066-891</t>
  </si>
  <si>
    <t>1066-963</t>
  </si>
  <si>
    <t>1066-FM</t>
  </si>
  <si>
    <t>골프존카운티 무주</t>
  </si>
  <si>
    <t>안성면 공진리 788-10</t>
  </si>
  <si>
    <t>전북특별자치도 무주군 안성면 공진리 788-10</t>
  </si>
  <si>
    <t>1067-558</t>
  </si>
  <si>
    <t>1067-567</t>
  </si>
  <si>
    <t>1067-603</t>
  </si>
  <si>
    <t>1067-630</t>
  </si>
  <si>
    <t>1067-657</t>
  </si>
  <si>
    <t>1067-738</t>
  </si>
  <si>
    <t>1067-864</t>
  </si>
  <si>
    <t>1067-891</t>
  </si>
  <si>
    <t>1067-963</t>
  </si>
  <si>
    <t>1067-FM</t>
  </si>
  <si>
    <t>정천경로당</t>
  </si>
  <si>
    <t>안성면 덕산리 1301-7</t>
  </si>
  <si>
    <t>전북특별자치도 무주군 안성면 덕산리 1301-7</t>
  </si>
  <si>
    <t>1068-558</t>
  </si>
  <si>
    <t>1068-567</t>
  </si>
  <si>
    <t>1068-603</t>
  </si>
  <si>
    <t>1068-630</t>
  </si>
  <si>
    <t>1068-657</t>
  </si>
  <si>
    <t>1068-738</t>
  </si>
  <si>
    <t>1068-864</t>
  </si>
  <si>
    <t>1068-891</t>
  </si>
  <si>
    <t>1068-963</t>
  </si>
  <si>
    <t>1068-FM</t>
  </si>
  <si>
    <t>북창경로당</t>
  </si>
  <si>
    <t>적상면 북창리 833</t>
  </si>
  <si>
    <t>전북특별자치도 무주군 적상면 북창리 833</t>
  </si>
  <si>
    <t>1069-558</t>
  </si>
  <si>
    <t>1069-567</t>
  </si>
  <si>
    <t>1069-603</t>
  </si>
  <si>
    <t>1069-630</t>
  </si>
  <si>
    <t>1069-657</t>
  </si>
  <si>
    <t>1069-738</t>
  </si>
  <si>
    <t>1069-864</t>
  </si>
  <si>
    <t>1069-891</t>
  </si>
  <si>
    <t>1069-963</t>
  </si>
  <si>
    <t>1069-FM</t>
  </si>
  <si>
    <t>면생활체육공원(적상축구장)</t>
  </si>
  <si>
    <t>적상면 사천리 294-4</t>
  </si>
  <si>
    <t>전북특별자치도 무주군 적상면 사천리 294-4</t>
  </si>
  <si>
    <t>1070-558</t>
  </si>
  <si>
    <t>1070-567</t>
  </si>
  <si>
    <t>1070-603</t>
  </si>
  <si>
    <t>1070-630</t>
  </si>
  <si>
    <t>1070-657</t>
  </si>
  <si>
    <t>1070-738</t>
  </si>
  <si>
    <t>1070-864</t>
  </si>
  <si>
    <t>1070-891</t>
  </si>
  <si>
    <t>1070-963</t>
  </si>
  <si>
    <t>1070-FM</t>
  </si>
  <si>
    <t>금과면 행정복지센터</t>
  </si>
  <si>
    <t>순창군</t>
  </si>
  <si>
    <t>금과면 매우리 136-3</t>
  </si>
  <si>
    <t>전북특별자치도 순창군 금과면 매우리 136-3</t>
  </si>
  <si>
    <t>1071-558</t>
  </si>
  <si>
    <t>1071-567</t>
  </si>
  <si>
    <t>1071-603</t>
  </si>
  <si>
    <t>1071-630</t>
  </si>
  <si>
    <t>1071-657</t>
  </si>
  <si>
    <t>1071-738</t>
  </si>
  <si>
    <t>1071-864</t>
  </si>
  <si>
    <t>1071-891</t>
  </si>
  <si>
    <t>1071-963</t>
  </si>
  <si>
    <t>1071-FM</t>
  </si>
  <si>
    <t>유등전천후게이트볼장</t>
  </si>
  <si>
    <t>유등면 외이리 1072</t>
  </si>
  <si>
    <t>전북특별자치도 순창군 유등면 외이리 1072</t>
  </si>
  <si>
    <t>1072-558</t>
  </si>
  <si>
    <t>1072-567</t>
  </si>
  <si>
    <t>1072-603</t>
  </si>
  <si>
    <t>1072-630</t>
  </si>
  <si>
    <t>1072-657</t>
  </si>
  <si>
    <t>1072-738</t>
  </si>
  <si>
    <t>1072-864</t>
  </si>
  <si>
    <t>1072-891</t>
  </si>
  <si>
    <t>1072-963</t>
  </si>
  <si>
    <t>1072-FM</t>
  </si>
  <si>
    <t>희평경로당</t>
  </si>
  <si>
    <t>장수군</t>
  </si>
  <si>
    <t>계남면 장안리 613-1</t>
  </si>
  <si>
    <t>전북특별자치도 장수군 계남면 장안리 613-1</t>
  </si>
  <si>
    <t>1073-558</t>
  </si>
  <si>
    <t>1073-567</t>
  </si>
  <si>
    <t>1073-603</t>
  </si>
  <si>
    <t>1073-630</t>
  </si>
  <si>
    <t>1073-657</t>
  </si>
  <si>
    <t>1073-738</t>
  </si>
  <si>
    <t>1073-864</t>
  </si>
  <si>
    <t>1073-891</t>
  </si>
  <si>
    <t>1073-963</t>
  </si>
  <si>
    <t>1073-FM</t>
  </si>
  <si>
    <t>구억경로당</t>
  </si>
  <si>
    <t>계남면 호덕리 678-2</t>
  </si>
  <si>
    <t>전북특별자치도 장수군 계남면 호덕리 678-2</t>
  </si>
  <si>
    <t>1074-558</t>
  </si>
  <si>
    <t>1074-567</t>
  </si>
  <si>
    <t>1074-603</t>
  </si>
  <si>
    <t>1074-630</t>
  </si>
  <si>
    <t>1074-657</t>
  </si>
  <si>
    <t>1074-738</t>
  </si>
  <si>
    <t>1074-864</t>
  </si>
  <si>
    <t>1074-891</t>
  </si>
  <si>
    <t>1074-963</t>
  </si>
  <si>
    <t>1074-FM</t>
  </si>
  <si>
    <t>연동할아버지경로당</t>
  </si>
  <si>
    <t>계북면 농소리 242-1</t>
  </si>
  <si>
    <t>전북특별자치도 장수군 계북면 농소리 242-1</t>
  </si>
  <si>
    <t>1075-558</t>
  </si>
  <si>
    <t>1075-567</t>
  </si>
  <si>
    <t>1075-603</t>
  </si>
  <si>
    <t>1075-630</t>
  </si>
  <si>
    <t>1075-657</t>
  </si>
  <si>
    <t>1075-738</t>
  </si>
  <si>
    <t>1075-864</t>
  </si>
  <si>
    <t>1075-891</t>
  </si>
  <si>
    <t>1075-963</t>
  </si>
  <si>
    <t>1075-FM</t>
  </si>
  <si>
    <t>백암경로당</t>
  </si>
  <si>
    <t>계북면 임평리 1259</t>
  </si>
  <si>
    <t>전북특별자치도 장수군 계북면 임평리 1259</t>
  </si>
  <si>
    <t>1076-558</t>
  </si>
  <si>
    <t>1076-567</t>
  </si>
  <si>
    <t>1076-603</t>
  </si>
  <si>
    <t>1076-630</t>
  </si>
  <si>
    <t>1076-657</t>
  </si>
  <si>
    <t>1076-738</t>
  </si>
  <si>
    <t>1076-864</t>
  </si>
  <si>
    <t>1076-891</t>
  </si>
  <si>
    <t>1076-963</t>
  </si>
  <si>
    <t>1076-FM</t>
  </si>
  <si>
    <t>금천경로당</t>
  </si>
  <si>
    <t>번암면 교동리 805</t>
  </si>
  <si>
    <t>전북특별자치도 장수군 번암면 교동리 805</t>
  </si>
  <si>
    <t>1077-558</t>
  </si>
  <si>
    <t>1077-567</t>
  </si>
  <si>
    <t>1077-603</t>
  </si>
  <si>
    <t>1077-630</t>
  </si>
  <si>
    <t>1077-657</t>
  </si>
  <si>
    <t>1077-738</t>
  </si>
  <si>
    <t>1077-864</t>
  </si>
  <si>
    <t>1077-891</t>
  </si>
  <si>
    <t>1077-963</t>
  </si>
  <si>
    <t>1077-FM</t>
  </si>
  <si>
    <t>번암면사무소</t>
  </si>
  <si>
    <t>번암면 노단리 1191-4</t>
  </si>
  <si>
    <t>전북특별자치도 장수군 번암면 노단리 1191-4</t>
  </si>
  <si>
    <t>1078-558</t>
  </si>
  <si>
    <t>1078-567</t>
  </si>
  <si>
    <t>1078-603</t>
  </si>
  <si>
    <t>1078-630</t>
  </si>
  <si>
    <t>1078-657</t>
  </si>
  <si>
    <t>1078-738</t>
  </si>
  <si>
    <t>1078-864</t>
  </si>
  <si>
    <t>1078-891</t>
  </si>
  <si>
    <t>1078-963</t>
  </si>
  <si>
    <t>1078-FM</t>
  </si>
  <si>
    <t>수척경로당</t>
  </si>
  <si>
    <t>번암면 대론리 915-4</t>
  </si>
  <si>
    <t>전북특별자치도 장수군 번암면 대론리 915-4</t>
  </si>
  <si>
    <t>1079-558</t>
  </si>
  <si>
    <t>1079-567</t>
  </si>
  <si>
    <t>1079-603</t>
  </si>
  <si>
    <t>1079-630</t>
  </si>
  <si>
    <t>1079-657</t>
  </si>
  <si>
    <t>1079-738</t>
  </si>
  <si>
    <t>1079-864</t>
  </si>
  <si>
    <t>1079-891</t>
  </si>
  <si>
    <t>1079-963</t>
  </si>
  <si>
    <t>1079-FM</t>
  </si>
  <si>
    <t>사암경로당</t>
  </si>
  <si>
    <t>번암면 사암리 318</t>
  </si>
  <si>
    <t>전북특별자치도 장수군 번암면 사암리 318</t>
  </si>
  <si>
    <t>1080-558</t>
  </si>
  <si>
    <t>1080-567</t>
  </si>
  <si>
    <t>1080-603</t>
  </si>
  <si>
    <t>1080-630</t>
  </si>
  <si>
    <t>1080-657</t>
  </si>
  <si>
    <t>1080-738</t>
  </si>
  <si>
    <t>1080-864</t>
  </si>
  <si>
    <t>1080-891</t>
  </si>
  <si>
    <t>1080-963</t>
  </si>
  <si>
    <t>1080-FM</t>
  </si>
  <si>
    <t>원흥경로당</t>
  </si>
  <si>
    <t>산서면 마하리 198</t>
  </si>
  <si>
    <t>전북특별자치도 장수군 산서면 마하리 198</t>
  </si>
  <si>
    <t>1081-558</t>
  </si>
  <si>
    <t>1081-567</t>
  </si>
  <si>
    <t>1081-603</t>
  </si>
  <si>
    <t>1081-630</t>
  </si>
  <si>
    <t>1081-657</t>
  </si>
  <si>
    <t>1081-738</t>
  </si>
  <si>
    <t>1081-864</t>
  </si>
  <si>
    <t>1081-891</t>
  </si>
  <si>
    <t>1081-963</t>
  </si>
  <si>
    <t>1081-FM</t>
  </si>
  <si>
    <t>원금곡경로당</t>
  </si>
  <si>
    <t>장계면 금곡리 561-5</t>
  </si>
  <si>
    <t>전북특별자치도 장수군 장계면 금곡리 561-5</t>
  </si>
  <si>
    <t>1082-558</t>
  </si>
  <si>
    <t>1082-567</t>
  </si>
  <si>
    <t>1082-603</t>
  </si>
  <si>
    <t>1082-630</t>
  </si>
  <si>
    <t>1082-657</t>
  </si>
  <si>
    <t>1082-738</t>
  </si>
  <si>
    <t>1082-864</t>
  </si>
  <si>
    <t>1082-891</t>
  </si>
  <si>
    <t>1082-963</t>
  </si>
  <si>
    <t>1082-FM</t>
  </si>
  <si>
    <t>원명덕마을회관</t>
  </si>
  <si>
    <t>장계면 명덕리 1061-3</t>
  </si>
  <si>
    <t>전북특별자치도 장수군 장계면 명덕리 1061-3</t>
  </si>
  <si>
    <t>1083-558</t>
  </si>
  <si>
    <t>1083-567</t>
  </si>
  <si>
    <t>1083-603</t>
  </si>
  <si>
    <t>1083-630</t>
  </si>
  <si>
    <t>1083-657</t>
  </si>
  <si>
    <t>1083-738</t>
  </si>
  <si>
    <t>1083-864</t>
  </si>
  <si>
    <t>1083-891</t>
  </si>
  <si>
    <t>1083-963</t>
  </si>
  <si>
    <t>1083-FM</t>
  </si>
  <si>
    <t>대리경로당</t>
  </si>
  <si>
    <t>장수읍 노곡리 678-1</t>
  </si>
  <si>
    <t>전북특별자치도 장수군 장수읍 노곡리 678-1</t>
  </si>
  <si>
    <t>1084-558</t>
  </si>
  <si>
    <t>1084-567</t>
  </si>
  <si>
    <t>1084-603</t>
  </si>
  <si>
    <t>1084-630</t>
  </si>
  <si>
    <t>1084-657</t>
  </si>
  <si>
    <t>1084-738</t>
  </si>
  <si>
    <t>1084-864</t>
  </si>
  <si>
    <t>1084-891</t>
  </si>
  <si>
    <t>1084-963</t>
  </si>
  <si>
    <t>1084-FM</t>
  </si>
  <si>
    <t>금평경로당</t>
  </si>
  <si>
    <t>장수읍 대성리 566-61</t>
  </si>
  <si>
    <t>전북특별자치도 장수군 장수읍 대성리 566-61</t>
  </si>
  <si>
    <t>1085-558</t>
  </si>
  <si>
    <t>1085-567</t>
  </si>
  <si>
    <t>1085-603</t>
  </si>
  <si>
    <t>1085-630</t>
  </si>
  <si>
    <t>1085-657</t>
  </si>
  <si>
    <t>1085-738</t>
  </si>
  <si>
    <t>1085-864</t>
  </si>
  <si>
    <t>1085-891</t>
  </si>
  <si>
    <t>1085-963</t>
  </si>
  <si>
    <t>1085-FM</t>
  </si>
  <si>
    <t>안양할머니 경로당</t>
  </si>
  <si>
    <t>장수읍 용계리 713-4</t>
  </si>
  <si>
    <t>전북특별자치도 장수군 장수읍 용계리 713-4</t>
  </si>
  <si>
    <t>1086-558</t>
  </si>
  <si>
    <t>1086-567</t>
  </si>
  <si>
    <t>1086-603</t>
  </si>
  <si>
    <t>1086-630</t>
  </si>
  <si>
    <t>1086-657</t>
  </si>
  <si>
    <t>1086-738</t>
  </si>
  <si>
    <t>1086-864</t>
  </si>
  <si>
    <t>1086-891</t>
  </si>
  <si>
    <t>1086-963</t>
  </si>
  <si>
    <t>1086-FM</t>
  </si>
  <si>
    <t>검덕경로당</t>
  </si>
  <si>
    <t>천천면 봉덕리 444-2</t>
  </si>
  <si>
    <t>전북특별자치도 장수군 천천면 봉덕리 444-2</t>
  </si>
  <si>
    <t>1087-558</t>
  </si>
  <si>
    <t>1087-567</t>
  </si>
  <si>
    <t>1087-603</t>
  </si>
  <si>
    <t>1087-630</t>
  </si>
  <si>
    <t>1087-657</t>
  </si>
  <si>
    <t>1087-738</t>
  </si>
  <si>
    <t>1087-864</t>
  </si>
  <si>
    <t>1087-891</t>
  </si>
  <si>
    <t>1087-963</t>
  </si>
  <si>
    <t>1087-FM</t>
  </si>
  <si>
    <t>쌍암경로당</t>
  </si>
  <si>
    <t>천천면 오봉리 1369-1</t>
  </si>
  <si>
    <t>전북특별자치도 장수군 천천면 오봉리 1369-1</t>
  </si>
  <si>
    <t>1088-558</t>
  </si>
  <si>
    <t>1088-567</t>
  </si>
  <si>
    <t>1088-603</t>
  </si>
  <si>
    <t>1088-630</t>
  </si>
  <si>
    <t>1088-657</t>
  </si>
  <si>
    <t>1088-738</t>
  </si>
  <si>
    <t>1088-864</t>
  </si>
  <si>
    <t>1088-891</t>
  </si>
  <si>
    <t>1088-963</t>
  </si>
  <si>
    <t>1088-FM</t>
  </si>
  <si>
    <t>나봄리조트</t>
  </si>
  <si>
    <t>천천면 월곡리 산 87-3</t>
  </si>
  <si>
    <t>전북특별자치도 장수군 천천면 월곡리 산 87-3</t>
  </si>
  <si>
    <t>1089-558</t>
  </si>
  <si>
    <t>1089-567</t>
  </si>
  <si>
    <t>1089-603</t>
  </si>
  <si>
    <t>1089-630</t>
  </si>
  <si>
    <t>1089-657</t>
  </si>
  <si>
    <t>1089-738</t>
  </si>
  <si>
    <t>1089-864</t>
  </si>
  <si>
    <t>1089-891</t>
  </si>
  <si>
    <t>1089-963</t>
  </si>
  <si>
    <t>1089-FM</t>
  </si>
  <si>
    <t>능길 게이트볼장</t>
  </si>
  <si>
    <t>진안군</t>
  </si>
  <si>
    <t>동향면 능금리 605-4</t>
  </si>
  <si>
    <t>전북특별자치도 진안군 동향면 능금리 605-4</t>
  </si>
  <si>
    <t>1090-558</t>
  </si>
  <si>
    <t>1090-567</t>
  </si>
  <si>
    <t>1090-603</t>
  </si>
  <si>
    <t>1090-630</t>
  </si>
  <si>
    <t>1090-657</t>
  </si>
  <si>
    <t>1090-738</t>
  </si>
  <si>
    <t>1090-864</t>
  </si>
  <si>
    <t>1090-891</t>
  </si>
  <si>
    <t>1090-963</t>
  </si>
  <si>
    <t>1090-FM</t>
  </si>
  <si>
    <t>상향마을회관</t>
  </si>
  <si>
    <t>동향면 성산리 397-4</t>
  </si>
  <si>
    <t>전북특별자치도 진안군 동향면 성산리 397-4</t>
  </si>
  <si>
    <t>1091-558</t>
  </si>
  <si>
    <t>1091-567</t>
  </si>
  <si>
    <t>1091-603</t>
  </si>
  <si>
    <t>1091-630</t>
  </si>
  <si>
    <t>1091-657</t>
  </si>
  <si>
    <t>1091-738</t>
  </si>
  <si>
    <t>1091-864</t>
  </si>
  <si>
    <t>1091-891</t>
  </si>
  <si>
    <t>1091-963</t>
  </si>
  <si>
    <t>1091-FM</t>
  </si>
  <si>
    <t>상전실내다목적구장</t>
  </si>
  <si>
    <t>상전면 주평리 1045-5</t>
  </si>
  <si>
    <t>전북특별자치도 진안군 상전면 주평리 1045-5</t>
  </si>
  <si>
    <t>1092-558</t>
  </si>
  <si>
    <t>1092-567</t>
  </si>
  <si>
    <t>1092-603</t>
  </si>
  <si>
    <t>1092-630</t>
  </si>
  <si>
    <t>1092-657</t>
  </si>
  <si>
    <t>1092-738</t>
  </si>
  <si>
    <t>1092-864</t>
  </si>
  <si>
    <t>1092-891</t>
  </si>
  <si>
    <t>1092-963</t>
  </si>
  <si>
    <t>1092-FM</t>
  </si>
  <si>
    <t>안천 전천후 게이트볼장</t>
  </si>
  <si>
    <t>안천면 노성리 1199-4</t>
  </si>
  <si>
    <t>전북특별자치도 진안군 안천면 노성리 1199-4</t>
  </si>
  <si>
    <t>1093-558</t>
  </si>
  <si>
    <t>1093-567</t>
  </si>
  <si>
    <t>1093-603</t>
  </si>
  <si>
    <t>1093-630</t>
  </si>
  <si>
    <t>1093-657</t>
  </si>
  <si>
    <t>1093-738</t>
  </si>
  <si>
    <t>1093-864</t>
  </si>
  <si>
    <t>1093-891</t>
  </si>
  <si>
    <t>1093-963</t>
  </si>
  <si>
    <t>1093-FM</t>
  </si>
  <si>
    <t>용담면 행정복지센터</t>
  </si>
  <si>
    <t>용담면 송풍리 924-3</t>
  </si>
  <si>
    <t>전북특별자치도 진안군 용담면 송풍리 924-3</t>
  </si>
  <si>
    <t>1094-558</t>
  </si>
  <si>
    <t>1094-567</t>
  </si>
  <si>
    <t>1094-603</t>
  </si>
  <si>
    <t>1094-630</t>
  </si>
  <si>
    <t>1094-657</t>
  </si>
  <si>
    <t>1094-738</t>
  </si>
  <si>
    <t>1094-864</t>
  </si>
  <si>
    <t>1094-891</t>
  </si>
  <si>
    <t>1094-963</t>
  </si>
  <si>
    <t>1094-FM</t>
  </si>
  <si>
    <t>정자동마을회관</t>
  </si>
  <si>
    <t>정천면 모정리 1527-9</t>
  </si>
  <si>
    <t>전북특별자치도 진안군 정천면 모정리 1527-9</t>
  </si>
  <si>
    <t>1095-558</t>
  </si>
  <si>
    <t>1095-567</t>
  </si>
  <si>
    <t>1095-603</t>
  </si>
  <si>
    <t>1095-630</t>
  </si>
  <si>
    <t>1095-657</t>
  </si>
  <si>
    <t>1095-738</t>
  </si>
  <si>
    <t>1095-864</t>
  </si>
  <si>
    <t>1095-891</t>
  </si>
  <si>
    <t>1095-963</t>
  </si>
  <si>
    <t>1095-FM</t>
  </si>
  <si>
    <t>정천면 테니스장</t>
  </si>
  <si>
    <t>정천면 봉학리 406-11</t>
  </si>
  <si>
    <t>전북특별자치도 진안군 정천면 봉학리 406-11</t>
  </si>
  <si>
    <t>1096-558</t>
  </si>
  <si>
    <t>1096-567</t>
  </si>
  <si>
    <t>1096-603</t>
  </si>
  <si>
    <t>1096-630</t>
  </si>
  <si>
    <t>1096-657</t>
  </si>
  <si>
    <t>1096-738</t>
  </si>
  <si>
    <t>1096-864</t>
  </si>
  <si>
    <t>1096-891</t>
  </si>
  <si>
    <t>1096-963</t>
  </si>
  <si>
    <t>1096-FM</t>
  </si>
  <si>
    <t>상양명마을회관</t>
  </si>
  <si>
    <t>주천면 운봉리 730</t>
  </si>
  <si>
    <t>전북특별자치도 진안군 주천면 운봉리 730</t>
  </si>
  <si>
    <t>1097-558</t>
  </si>
  <si>
    <t>1097-567</t>
  </si>
  <si>
    <t>1097-603</t>
  </si>
  <si>
    <t>1097-630</t>
  </si>
  <si>
    <t>1097-657</t>
  </si>
  <si>
    <t>1097-738</t>
  </si>
  <si>
    <t>1097-864</t>
  </si>
  <si>
    <t>1097-891</t>
  </si>
  <si>
    <t>1097-963</t>
  </si>
  <si>
    <t>1097-FM</t>
  </si>
  <si>
    <t>주천중학교</t>
  </si>
  <si>
    <t>주천면 주양리 75</t>
  </si>
  <si>
    <t>전북특별자치도 진안군 주천면 주양리 75</t>
  </si>
  <si>
    <t>1098-558</t>
  </si>
  <si>
    <t>1098-567</t>
  </si>
  <si>
    <t>1098-603</t>
  </si>
  <si>
    <t>1098-630</t>
  </si>
  <si>
    <t>1098-657</t>
  </si>
  <si>
    <t>1098-738</t>
  </si>
  <si>
    <t>1098-864</t>
  </si>
  <si>
    <t>1098-891</t>
  </si>
  <si>
    <t>1098-963</t>
  </si>
  <si>
    <t>1098-FM</t>
  </si>
  <si>
    <t>석곡마을회관</t>
  </si>
  <si>
    <t>진안읍 구룡리 945-40</t>
  </si>
  <si>
    <t>전북특별자치도 진안군 진안읍 구룡리 945-40</t>
  </si>
  <si>
    <t>1099-558</t>
  </si>
  <si>
    <t>1099-567</t>
  </si>
  <si>
    <t>1099-603</t>
  </si>
  <si>
    <t>1099-630</t>
  </si>
  <si>
    <t>1099-657</t>
  </si>
  <si>
    <t>1099-738</t>
  </si>
  <si>
    <t>1099-864</t>
  </si>
  <si>
    <t>1099-891</t>
  </si>
  <si>
    <t>1099-963</t>
  </si>
  <si>
    <t>1099-FM</t>
  </si>
  <si>
    <t>평촌마을회관</t>
  </si>
  <si>
    <t>진안읍 오천리 646-7</t>
  </si>
  <si>
    <t>전북특별자치도 진안군 진안읍 오천리 646-7</t>
  </si>
  <si>
    <t>1100-558</t>
  </si>
  <si>
    <t>1100-567</t>
  </si>
  <si>
    <t>1100-603</t>
  </si>
  <si>
    <t>1100-630</t>
  </si>
  <si>
    <t>1100-657</t>
  </si>
  <si>
    <t>1100-738</t>
  </si>
  <si>
    <t>1100-864</t>
  </si>
  <si>
    <t>1100-891</t>
  </si>
  <si>
    <t>1100-963</t>
  </si>
  <si>
    <t>1100-FM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</si>
</sst>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Malgun Gothic"/>
    </font>
    <font/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4" fillId="6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4" fillId="8" fontId="1" numFmtId="0" xfId="0" applyAlignment="1" applyBorder="1" applyFont="1">
      <alignment horizontal="center" readingOrder="0" vertical="center"/>
    </xf>
    <xf borderId="4" fillId="9" fontId="1" numFmtId="0" xfId="0" applyAlignment="1" applyBorder="1" applyFont="1">
      <alignment horizontal="center" readingOrder="0" vertical="center"/>
    </xf>
    <xf borderId="4" fillId="10" fontId="1" numFmtId="0" xfId="0" applyAlignment="1" applyBorder="1" applyFont="1">
      <alignment horizontal="center" readingOrder="0" vertical="center"/>
    </xf>
    <xf borderId="4" fillId="11" fontId="1" numFmtId="0" xfId="0" applyAlignment="1" applyBorder="1" applyFont="1">
      <alignment horizontal="center" readingOrder="0" vertical="center"/>
    </xf>
    <xf borderId="4" fillId="1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4" fillId="8" fontId="1" numFmtId="0" xfId="0" applyAlignment="1" applyBorder="1" applyFont="1">
      <alignment horizontal="center" readingOrder="0" shrinkToFit="0" vertical="center" wrapText="1"/>
    </xf>
    <xf borderId="4" fillId="9" fontId="1" numFmtId="0" xfId="0" applyAlignment="1" applyBorder="1" applyFont="1">
      <alignment horizontal="center" readingOrder="0" shrinkToFit="0" vertical="center" wrapText="1"/>
    </xf>
    <xf borderId="4" fillId="10" fontId="1" numFmtId="0" xfId="0" applyAlignment="1" applyBorder="1" applyFont="1">
      <alignment horizontal="center" readingOrder="0" shrinkToFit="0" vertical="center" wrapText="1"/>
    </xf>
    <xf borderId="4" fillId="11" fontId="1" numFmtId="0" xfId="0" applyAlignment="1" applyBorder="1" applyFont="1">
      <alignment horizontal="center" readingOrder="0" shrinkToFit="0" vertical="center" wrapText="1"/>
    </xf>
    <xf borderId="4" fillId="12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0"/>
    <col customWidth="1" min="2" max="2" width="37.75"/>
    <col customWidth="1" min="3" max="3" width="15.38"/>
    <col customWidth="1" min="4" max="4" width="14.75"/>
    <col customWidth="1" min="5" max="5" width="28.13"/>
    <col customWidth="1" hidden="1" min="6" max="6" width="35.38"/>
    <col customWidth="1" min="7" max="8" width="19.25"/>
    <col customWidth="1" hidden="1" min="9" max="18" width="14.5"/>
    <col customWidth="1" min="19" max="20" width="9.5"/>
    <col customWidth="1" hidden="1" min="21" max="21" width="9.5"/>
    <col customWidth="1" min="22" max="22" width="9.5"/>
    <col customWidth="1" hidden="1" min="23" max="23" width="9.5"/>
    <col customWidth="1" min="24" max="25" width="9.5"/>
    <col customWidth="1" hidden="1" min="26" max="26" width="9.5"/>
    <col customWidth="1" min="27" max="27" width="9.5"/>
    <col customWidth="1" hidden="1" min="28" max="28" width="9.5"/>
    <col customWidth="1" min="29" max="30" width="9.5"/>
    <col customWidth="1" hidden="1" min="31" max="31" width="9.5"/>
    <col customWidth="1" min="32" max="32" width="9.5"/>
    <col customWidth="1" hidden="1" min="33" max="33" width="9.5"/>
    <col customWidth="1" min="34" max="35" width="9.5"/>
    <col customWidth="1" hidden="1" min="36" max="36" width="9.5"/>
    <col customWidth="1" min="37" max="37" width="9.5"/>
    <col customWidth="1" hidden="1" min="38" max="38" width="9.5"/>
    <col customWidth="1" min="39" max="40" width="9.5"/>
    <col customWidth="1" hidden="1" min="41" max="41" width="9.5"/>
    <col customWidth="1" min="42" max="42" width="9.5"/>
    <col customWidth="1" hidden="1" min="43" max="43" width="9.5"/>
    <col customWidth="1" min="44" max="45" width="9.5"/>
    <col customWidth="1" hidden="1" min="46" max="46" width="9.5"/>
    <col customWidth="1" min="47" max="47" width="9.5"/>
    <col customWidth="1" hidden="1" min="48" max="48" width="9.5"/>
    <col customWidth="1" min="49" max="50" width="9.5"/>
    <col customWidth="1" hidden="1" min="51" max="51" width="9.5"/>
    <col customWidth="1" min="52" max="52" width="9.5"/>
    <col customWidth="1" hidden="1" min="53" max="53" width="9.5"/>
    <col customWidth="1" min="54" max="55" width="9.5"/>
    <col customWidth="1" hidden="1" min="56" max="56" width="9.5"/>
    <col customWidth="1" min="57" max="57" width="9.5"/>
    <col customWidth="1" hidden="1" min="58" max="58" width="9.5"/>
    <col customWidth="1" min="59" max="60" width="9.5"/>
    <col customWidth="1" hidden="1" min="61" max="61" width="9.5"/>
    <col customWidth="1" min="62" max="62" width="9.5"/>
    <col customWidth="1" hidden="1" min="63" max="63" width="9.5"/>
    <col customWidth="1" min="64" max="65" width="9.5"/>
    <col customWidth="1" hidden="1" min="66" max="67" width="9.5"/>
  </cols>
  <sheetData>
    <row r="1">
      <c r="A1" s="1">
        <f>SUBTOTAL(3,A4:$A78)</f>
        <v>75</v>
      </c>
      <c r="B1" s="2"/>
      <c r="C1" s="2"/>
      <c r="D1" s="2"/>
      <c r="E1" s="2"/>
      <c r="F1" s="3"/>
      <c r="G1" s="2"/>
      <c r="H1" s="4"/>
      <c r="I1" s="5" t="s">
        <v>0</v>
      </c>
      <c r="J1" s="6"/>
      <c r="K1" s="6"/>
      <c r="L1" s="6"/>
      <c r="M1" s="6"/>
      <c r="N1" s="6"/>
      <c r="O1" s="6"/>
      <c r="P1" s="6"/>
      <c r="Q1" s="6"/>
      <c r="R1" s="7"/>
      <c r="S1" s="8" t="s">
        <v>1</v>
      </c>
      <c r="T1" s="6"/>
      <c r="U1" s="6"/>
      <c r="V1" s="6"/>
      <c r="W1" s="7"/>
      <c r="X1" s="9" t="s">
        <v>2</v>
      </c>
      <c r="Y1" s="6"/>
      <c r="Z1" s="6"/>
      <c r="AA1" s="6"/>
      <c r="AB1" s="7"/>
      <c r="AC1" s="10" t="s">
        <v>3</v>
      </c>
      <c r="AD1" s="6"/>
      <c r="AE1" s="6"/>
      <c r="AF1" s="6"/>
      <c r="AG1" s="7"/>
      <c r="AH1" s="11" t="s">
        <v>4</v>
      </c>
      <c r="AI1" s="6"/>
      <c r="AJ1" s="6"/>
      <c r="AK1" s="6"/>
      <c r="AL1" s="7"/>
      <c r="AM1" s="12" t="s">
        <v>5</v>
      </c>
      <c r="AN1" s="6"/>
      <c r="AO1" s="6"/>
      <c r="AP1" s="6"/>
      <c r="AQ1" s="7"/>
      <c r="AR1" s="13" t="s">
        <v>6</v>
      </c>
      <c r="AS1" s="6"/>
      <c r="AT1" s="6"/>
      <c r="AU1" s="6"/>
      <c r="AV1" s="7"/>
      <c r="AW1" s="14" t="s">
        <v>7</v>
      </c>
      <c r="AX1" s="6"/>
      <c r="AY1" s="6"/>
      <c r="AZ1" s="6"/>
      <c r="BA1" s="7"/>
      <c r="BB1" s="15" t="s">
        <v>8</v>
      </c>
      <c r="BC1" s="6"/>
      <c r="BD1" s="6"/>
      <c r="BE1" s="6"/>
      <c r="BF1" s="7"/>
      <c r="BG1" s="16" t="s">
        <v>9</v>
      </c>
      <c r="BH1" s="6"/>
      <c r="BI1" s="6"/>
      <c r="BJ1" s="6"/>
      <c r="BK1" s="7"/>
      <c r="BL1" s="17" t="s">
        <v>10</v>
      </c>
      <c r="BM1" s="6"/>
      <c r="BN1" s="6"/>
      <c r="BO1" s="7"/>
    </row>
    <row r="2">
      <c r="A2" s="18" t="s">
        <v>11</v>
      </c>
      <c r="B2" s="19" t="s">
        <v>12</v>
      </c>
      <c r="C2" s="1" t="s">
        <v>13</v>
      </c>
      <c r="D2" s="6"/>
      <c r="E2" s="6"/>
      <c r="F2" s="7"/>
      <c r="G2" s="18" t="s">
        <v>14</v>
      </c>
      <c r="H2" s="18" t="s">
        <v>15</v>
      </c>
      <c r="I2" s="5" t="s">
        <v>16</v>
      </c>
      <c r="J2" s="20" t="s">
        <v>17</v>
      </c>
      <c r="K2" s="20" t="s">
        <v>18</v>
      </c>
      <c r="L2" s="20" t="s">
        <v>19</v>
      </c>
      <c r="M2" s="20" t="s">
        <v>20</v>
      </c>
      <c r="N2" s="21" t="s">
        <v>21</v>
      </c>
      <c r="O2" s="21" t="s">
        <v>22</v>
      </c>
      <c r="P2" s="21" t="s">
        <v>23</v>
      </c>
      <c r="Q2" s="21" t="s">
        <v>19</v>
      </c>
      <c r="R2" s="21" t="s">
        <v>20</v>
      </c>
      <c r="S2" s="22" t="s">
        <v>24</v>
      </c>
      <c r="T2" s="22" t="s">
        <v>25</v>
      </c>
      <c r="U2" s="22" t="s">
        <v>19</v>
      </c>
      <c r="V2" s="22" t="s">
        <v>26</v>
      </c>
      <c r="W2" s="22" t="s">
        <v>20</v>
      </c>
      <c r="X2" s="23" t="s">
        <v>24</v>
      </c>
      <c r="Y2" s="23" t="s">
        <v>25</v>
      </c>
      <c r="Z2" s="23" t="s">
        <v>19</v>
      </c>
      <c r="AA2" s="23" t="s">
        <v>26</v>
      </c>
      <c r="AB2" s="23" t="s">
        <v>20</v>
      </c>
      <c r="AC2" s="24" t="s">
        <v>24</v>
      </c>
      <c r="AD2" s="24" t="s">
        <v>25</v>
      </c>
      <c r="AE2" s="24" t="s">
        <v>19</v>
      </c>
      <c r="AF2" s="24" t="s">
        <v>26</v>
      </c>
      <c r="AG2" s="24" t="s">
        <v>20</v>
      </c>
      <c r="AH2" s="25" t="s">
        <v>24</v>
      </c>
      <c r="AI2" s="25" t="s">
        <v>25</v>
      </c>
      <c r="AJ2" s="25" t="s">
        <v>19</v>
      </c>
      <c r="AK2" s="25" t="s">
        <v>26</v>
      </c>
      <c r="AL2" s="25" t="s">
        <v>20</v>
      </c>
      <c r="AM2" s="26" t="s">
        <v>24</v>
      </c>
      <c r="AN2" s="26" t="s">
        <v>25</v>
      </c>
      <c r="AO2" s="26" t="s">
        <v>19</v>
      </c>
      <c r="AP2" s="26" t="s">
        <v>26</v>
      </c>
      <c r="AQ2" s="26" t="s">
        <v>20</v>
      </c>
      <c r="AR2" s="27" t="s">
        <v>24</v>
      </c>
      <c r="AS2" s="27" t="s">
        <v>25</v>
      </c>
      <c r="AT2" s="27" t="s">
        <v>19</v>
      </c>
      <c r="AU2" s="27" t="s">
        <v>26</v>
      </c>
      <c r="AV2" s="27" t="s">
        <v>20</v>
      </c>
      <c r="AW2" s="28" t="s">
        <v>24</v>
      </c>
      <c r="AX2" s="28" t="s">
        <v>25</v>
      </c>
      <c r="AY2" s="28" t="s">
        <v>19</v>
      </c>
      <c r="AZ2" s="28" t="s">
        <v>26</v>
      </c>
      <c r="BA2" s="28" t="s">
        <v>20</v>
      </c>
      <c r="BB2" s="29" t="s">
        <v>24</v>
      </c>
      <c r="BC2" s="29" t="s">
        <v>25</v>
      </c>
      <c r="BD2" s="29" t="s">
        <v>19</v>
      </c>
      <c r="BE2" s="29" t="s">
        <v>26</v>
      </c>
      <c r="BF2" s="29" t="s">
        <v>20</v>
      </c>
      <c r="BG2" s="30" t="s">
        <v>24</v>
      </c>
      <c r="BH2" s="30" t="s">
        <v>25</v>
      </c>
      <c r="BI2" s="30" t="s">
        <v>19</v>
      </c>
      <c r="BJ2" s="30" t="s">
        <v>26</v>
      </c>
      <c r="BK2" s="30" t="s">
        <v>20</v>
      </c>
      <c r="BL2" s="31" t="s">
        <v>24</v>
      </c>
      <c r="BM2" s="31" t="s">
        <v>25</v>
      </c>
      <c r="BN2" s="31" t="s">
        <v>27</v>
      </c>
      <c r="BO2" s="31" t="s">
        <v>28</v>
      </c>
    </row>
    <row r="3">
      <c r="A3" s="32" t="s">
        <v>29</v>
      </c>
      <c r="B3" s="32" t="s">
        <v>30</v>
      </c>
      <c r="C3" s="32" t="s">
        <v>31</v>
      </c>
      <c r="D3" s="32" t="s">
        <v>32</v>
      </c>
      <c r="E3" s="32" t="s">
        <v>33</v>
      </c>
      <c r="F3" s="32" t="s">
        <v>34</v>
      </c>
      <c r="G3" s="32" t="s">
        <v>35</v>
      </c>
      <c r="H3" s="32" t="s">
        <v>36</v>
      </c>
      <c r="I3" s="33" t="s">
        <v>37</v>
      </c>
      <c r="J3" s="33" t="s">
        <v>38</v>
      </c>
      <c r="K3" s="33" t="s">
        <v>39</v>
      </c>
      <c r="L3" s="33" t="s">
        <v>40</v>
      </c>
      <c r="M3" s="33" t="s">
        <v>41</v>
      </c>
      <c r="N3" s="33" t="s">
        <v>42</v>
      </c>
      <c r="O3" s="33" t="s">
        <v>42</v>
      </c>
      <c r="P3" s="33" t="s">
        <v>43</v>
      </c>
      <c r="Q3" s="33" t="s">
        <v>44</v>
      </c>
      <c r="R3" s="33" t="s">
        <v>45</v>
      </c>
      <c r="S3" s="34" t="s">
        <v>46</v>
      </c>
      <c r="T3" s="34" t="s">
        <v>47</v>
      </c>
      <c r="U3" s="34" t="s">
        <v>48</v>
      </c>
      <c r="V3" s="34" t="s">
        <v>49</v>
      </c>
      <c r="W3" s="34" t="s">
        <v>50</v>
      </c>
      <c r="X3" s="35" t="s">
        <v>51</v>
      </c>
      <c r="Y3" s="35" t="s">
        <v>52</v>
      </c>
      <c r="Z3" s="35" t="s">
        <v>53</v>
      </c>
      <c r="AA3" s="35" t="s">
        <v>54</v>
      </c>
      <c r="AB3" s="35" t="s">
        <v>55</v>
      </c>
      <c r="AC3" s="36" t="s">
        <v>56</v>
      </c>
      <c r="AD3" s="36" t="s">
        <v>57</v>
      </c>
      <c r="AE3" s="36" t="s">
        <v>58</v>
      </c>
      <c r="AF3" s="36" t="s">
        <v>59</v>
      </c>
      <c r="AG3" s="36" t="s">
        <v>60</v>
      </c>
      <c r="AH3" s="37" t="s">
        <v>61</v>
      </c>
      <c r="AI3" s="37" t="s">
        <v>62</v>
      </c>
      <c r="AJ3" s="37" t="s">
        <v>63</v>
      </c>
      <c r="AK3" s="37" t="s">
        <v>64</v>
      </c>
      <c r="AL3" s="37" t="s">
        <v>65</v>
      </c>
      <c r="AM3" s="38" t="s">
        <v>66</v>
      </c>
      <c r="AN3" s="38" t="s">
        <v>67</v>
      </c>
      <c r="AO3" s="38" t="s">
        <v>68</v>
      </c>
      <c r="AP3" s="38" t="s">
        <v>69</v>
      </c>
      <c r="AQ3" s="38" t="s">
        <v>70</v>
      </c>
      <c r="AR3" s="39" t="s">
        <v>71</v>
      </c>
      <c r="AS3" s="39" t="s">
        <v>72</v>
      </c>
      <c r="AT3" s="39" t="s">
        <v>73</v>
      </c>
      <c r="AU3" s="39" t="s">
        <v>74</v>
      </c>
      <c r="AV3" s="39" t="s">
        <v>75</v>
      </c>
      <c r="AW3" s="40" t="s">
        <v>76</v>
      </c>
      <c r="AX3" s="40" t="s">
        <v>77</v>
      </c>
      <c r="AY3" s="40" t="s">
        <v>78</v>
      </c>
      <c r="AZ3" s="40" t="s">
        <v>79</v>
      </c>
      <c r="BA3" s="40" t="s">
        <v>80</v>
      </c>
      <c r="BB3" s="41" t="s">
        <v>81</v>
      </c>
      <c r="BC3" s="41" t="s">
        <v>82</v>
      </c>
      <c r="BD3" s="41" t="s">
        <v>83</v>
      </c>
      <c r="BE3" s="41" t="s">
        <v>84</v>
      </c>
      <c r="BF3" s="41" t="s">
        <v>85</v>
      </c>
      <c r="BG3" s="42" t="s">
        <v>86</v>
      </c>
      <c r="BH3" s="42" t="s">
        <v>87</v>
      </c>
      <c r="BI3" s="42" t="s">
        <v>88</v>
      </c>
      <c r="BJ3" s="42" t="s">
        <v>89</v>
      </c>
      <c r="BK3" s="42" t="s">
        <v>90</v>
      </c>
      <c r="BL3" s="43" t="s">
        <v>91</v>
      </c>
      <c r="BM3" s="43" t="s">
        <v>92</v>
      </c>
      <c r="BN3" s="43" t="s">
        <v>93</v>
      </c>
      <c r="BO3" s="43" t="s">
        <v>94</v>
      </c>
    </row>
    <row r="4" ht="26.25" customHeight="1">
      <c r="A4" s="44">
        <v>1026.0</v>
      </c>
      <c r="B4" s="45" t="s">
        <v>95</v>
      </c>
      <c r="C4" s="44" t="s">
        <v>96</v>
      </c>
      <c r="D4" s="44" t="s">
        <v>97</v>
      </c>
      <c r="E4" s="44" t="s">
        <v>98</v>
      </c>
      <c r="F4" s="44" t="s">
        <v>99</v>
      </c>
      <c r="G4" s="46">
        <v>35.39024618</v>
      </c>
      <c r="H4" s="46">
        <v>126.4925595</v>
      </c>
      <c r="I4" s="47" t="str">
        <f t="shared" ref="I4:I78" si="1">IF(COUNTIF($S4:$BK4,"5단계")&gt;0,"5단계",
 IF(COUNTIF($S4:$BK4,"4단계")&gt;0,"4단계",
 IF(COUNTIF($S4:$BK4,"3단계")&gt;0,"3단계",
 IF(COUNTIF($S4:$BK4,"2단계")&gt;0,"2단계",
 IF(COUNTIF($S4:$BK4,"1단계")&gt;0,"1단계","")))))</f>
        <v/>
      </c>
      <c r="J4" s="48">
        <f t="shared" ref="J4:J78" si="2">MAX(
  MAP(
    $T4:$BI4,
    $U4:$BJ4,
    $V4:$BK4,
    LAMBDA(a,b,c, IF(a=$I4, c, ))
  )
)</f>
        <v>0</v>
      </c>
      <c r="K4" s="48" t="str">
        <f>IFERROR(__xludf.DUMMYFUNCTION("REGEXREPLACE(
  INDEX(
    $S$1:$BK$1,
    MATCH(
      MAX(
        MAP($T4:$BI4,$V4:$BK4,LAMBDA(a,c,IF(a=$I4,c)))
      ),
      MAP($T4:$BI4,$V4:$BK4,LAMBDA(a,c,IF(a=$I4,c))),
      0
    )
  ),
  ""^\d+_"",
  """"
)"),"#N/A")</f>
        <v>#N/A</v>
      </c>
      <c r="L4" s="48" t="str">
        <f t="shared" ref="L4:L78" si="3">INDEX(
  $U4:$BK4,
  MATCH(
    MAX(
      MAP(
        $T4:$BI4,
        $V4:$BK4,
        LAMBDA(a,c, IF(a=$I4, c))
      )
    ),
    MAP(
      $T4:$BI4,
      $V4:$BK4,
      LAMBDA(a,c, IF(a=$I4, c))
    ),
    0
  )
)</f>
        <v>#N/A</v>
      </c>
      <c r="M4" s="48" t="str">
        <f t="shared" ref="M4:M78" si="4">INDEX(
  $W4:$BK4,
  MATCH(
    MAX(
      MAP(
        $T4:$BI4,
        $V4:$BK4,
        LAMBDA(a,c, IF(a=$I4, c))
      )
    ),
    MAP(
      $T4:$BI4,
      $V4:$BK4,
      LAMBDA(a,c, IF(a=$I4, c))
    ),
    0
  )
)</f>
        <v>#N/A</v>
      </c>
      <c r="N4" s="47" t="str">
        <f t="shared" ref="N4:N78" si="5">IF(COUNTIF($S4:$AQ4,"5단계")+COUNTIF($AW4:$BF4,"5단계")&gt;0,"5단계",
 IF(COUNTIF($S4:$AQ4,"4단계")+COUNTIF($AW4:$BF4,"4단계")&gt;0,"4단계",
 IF(COUNTIF($S4:$AQ4,"3단계")+COUNTIF($AW4:$BF4,"3단계")&gt;0,"3단계",
 IF(COUNTIF($S4:$AQ4,"2단계")+COUNTIF($AW4:$BF4,"2단계")&gt;0,"2단계",
 IF(COUNTIF($S4:$AQ4,"1단계")+COUNTIF($AW4:$BF4,"1단계")&gt;0,"1단계","")))))</f>
        <v/>
      </c>
      <c r="O4" s="47">
        <f t="shared" ref="O4:O78" si="6">MAX({
  MAP($T4:$AO4,$U4:$AP4,$V4:$AQ4, LAMBDA(a,b,c, IF(a=$N4, c))),
  MAP($AX4:$BD4,$AY4:$BE4,$AZ4:$BF4, LAMBDA(a,b,c, IF(a=$N4, c)))
})</f>
        <v>0</v>
      </c>
      <c r="P4" s="47" t="str">
        <f>IFERROR(__xludf.DUMMYFUNCTION("REGEXREPLACE(
  INDEX(
    {$S$1:$AQ$1,$AW$1:$BF$1},
    MATCH(
      MAX({
        MAP($T4:$AO4,$V4:$AQ4,LAMBDA(a,c,IF(a=$N4,c))),
        MAP($AX4:$BD4,$AZ4:$BF4,LAMBDA(a,c,IF(a=$N4,c)))
      }),
      {
        MAP($T4:$AO4,$V4:$AQ4,LAMBDA(a,c,IF(a=$N"&amp;"4,c))),
        MAP($AX4:$BD4,$AZ4:$BF4,LAMBDA(a,c,IF(a=$N4,c)))
      },
      0
    )
  ),
  ""^\d+_"",
  """"
)"),"#N/A")</f>
        <v>#N/A</v>
      </c>
      <c r="Q4" s="47" t="str">
        <f t="shared" ref="Q4:Q78" si="7">INDEX(
  {$U4:$AQ4,$AW4:$BF4},
  MATCH(
    MAX({
      MAP($T4:$AO4,$V4:$AQ4,LAMBDA(a,c,IF(a=$N4,c))),
      MAP($AX4:$BD4,$AZ4:$BF4,LAMBDA(a,c,IF(a=$N4,c)))
    }),
    {
      MAP($T4:$AO4,$V4:$AQ4,LAMBDA(a,c,IF(a=$N4,c))),
      MAP($AX4:$BD4,$AZ4:$BF4,LAMBDA(a,c,IF(a=$N4,c)))
    },
    0
  )
)</f>
        <v>#N/A</v>
      </c>
      <c r="R4" s="47" t="str">
        <f t="shared" ref="R4:R78" si="8">INDEX(
  {$W4:$AQ4,$AY4:$BF4},
  MATCH(
    MAX({
      MAP($T4:$AO4,$V4:$AQ4,LAMBDA(a,c,IF(a=$N4,c))),
      MAP($AX4:$BD4,$AZ4:$BF4,LAMBDA(a,c,IF(a=$N4,c)))
    }),
    {
      MAP($T4:$AO4,$V4:$AQ4,LAMBDA(a,c,IF(a=$N4,c))),
      MAP($AX4:$BD4,$AZ4:$BF4,LAMBDA(a,c,IF(a=$N4,c)))
    },
    0
  )
)</f>
        <v>#N/A</v>
      </c>
      <c r="S4" s="47" t="s">
        <v>100</v>
      </c>
      <c r="T4" s="48"/>
      <c r="U4" s="48"/>
      <c r="V4" s="48"/>
      <c r="W4" s="48"/>
      <c r="X4" s="47" t="s">
        <v>101</v>
      </c>
      <c r="Y4" s="48"/>
      <c r="Z4" s="48"/>
      <c r="AA4" s="48"/>
      <c r="AB4" s="48"/>
      <c r="AC4" s="47" t="s">
        <v>102</v>
      </c>
      <c r="AD4" s="48"/>
      <c r="AE4" s="48"/>
      <c r="AF4" s="48"/>
      <c r="AG4" s="48"/>
      <c r="AH4" s="47" t="s">
        <v>103</v>
      </c>
      <c r="AI4" s="48"/>
      <c r="AJ4" s="48"/>
      <c r="AK4" s="48"/>
      <c r="AL4" s="48"/>
      <c r="AM4" s="47" t="s">
        <v>104</v>
      </c>
      <c r="AN4" s="48"/>
      <c r="AO4" s="48"/>
      <c r="AP4" s="48"/>
      <c r="AQ4" s="48"/>
      <c r="AR4" s="47" t="s">
        <v>105</v>
      </c>
      <c r="AS4" s="48"/>
      <c r="AT4" s="48"/>
      <c r="AU4" s="48"/>
      <c r="AV4" s="48"/>
      <c r="AW4" s="47" t="s">
        <v>106</v>
      </c>
      <c r="AX4" s="48"/>
      <c r="AY4" s="48"/>
      <c r="AZ4" s="48"/>
      <c r="BA4" s="48"/>
      <c r="BB4" s="47" t="s">
        <v>107</v>
      </c>
      <c r="BC4" s="48"/>
      <c r="BD4" s="48"/>
      <c r="BE4" s="48"/>
      <c r="BF4" s="48"/>
      <c r="BG4" s="47" t="s">
        <v>108</v>
      </c>
      <c r="BH4" s="48"/>
      <c r="BI4" s="48"/>
      <c r="BJ4" s="48"/>
      <c r="BK4" s="48"/>
      <c r="BL4" s="47" t="s">
        <v>109</v>
      </c>
      <c r="BM4" s="48"/>
      <c r="BN4" s="48"/>
      <c r="BO4" s="48"/>
    </row>
    <row r="5" ht="26.25" customHeight="1">
      <c r="A5" s="44">
        <v>1027.0</v>
      </c>
      <c r="B5" s="45" t="s">
        <v>110</v>
      </c>
      <c r="C5" s="44" t="s">
        <v>96</v>
      </c>
      <c r="D5" s="44" t="s">
        <v>97</v>
      </c>
      <c r="E5" s="44" t="s">
        <v>111</v>
      </c>
      <c r="F5" s="44" t="s">
        <v>112</v>
      </c>
      <c r="G5" s="46">
        <v>35.35653491</v>
      </c>
      <c r="H5" s="46">
        <v>126.5645929</v>
      </c>
      <c r="I5" s="47" t="str">
        <f t="shared" si="1"/>
        <v/>
      </c>
      <c r="J5" s="48">
        <f t="shared" si="2"/>
        <v>0</v>
      </c>
      <c r="K5" s="48" t="str">
        <f>IFERROR(__xludf.DUMMYFUNCTION("REGEXREPLACE(
  INDEX(
    $S$1:$BK$1,
    MATCH(
      MAX(
        MAP($T5:$BI5,$V5:$BK5,LAMBDA(a,c,IF(a=$I5,c)))
      ),
      MAP($T5:$BI5,$V5:$BK5,LAMBDA(a,c,IF(a=$I5,c))),
      0
    )
  ),
  ""^\d+_"",
  """"
)"),"#N/A")</f>
        <v>#N/A</v>
      </c>
      <c r="L5" s="48" t="str">
        <f t="shared" si="3"/>
        <v>#N/A</v>
      </c>
      <c r="M5" s="48" t="str">
        <f t="shared" si="4"/>
        <v>#N/A</v>
      </c>
      <c r="N5" s="47" t="str">
        <f t="shared" si="5"/>
        <v/>
      </c>
      <c r="O5" s="47">
        <f t="shared" si="6"/>
        <v>0</v>
      </c>
      <c r="P5" s="47" t="str">
        <f>IFERROR(__xludf.DUMMYFUNCTION("REGEXREPLACE(
  INDEX(
    {$S$1:$AQ$1,$AW$1:$BF$1},
    MATCH(
      MAX({
        MAP($T5:$AO5,$V5:$AQ5,LAMBDA(a,c,IF(a=$N5,c))),
        MAP($AX5:$BD5,$AZ5:$BF5,LAMBDA(a,c,IF(a=$N5,c)))
      }),
      {
        MAP($T5:$AO5,$V5:$AQ5,LAMBDA(a,c,IF(a=$N"&amp;"5,c))),
        MAP($AX5:$BD5,$AZ5:$BF5,LAMBDA(a,c,IF(a=$N5,c)))
      },
      0
    )
  ),
  ""^\d+_"",
  """"
)"),"#N/A")</f>
        <v>#N/A</v>
      </c>
      <c r="Q5" s="47" t="str">
        <f t="shared" si="7"/>
        <v>#N/A</v>
      </c>
      <c r="R5" s="47" t="str">
        <f t="shared" si="8"/>
        <v>#N/A</v>
      </c>
      <c r="S5" s="47" t="s">
        <v>113</v>
      </c>
      <c r="T5" s="48"/>
      <c r="U5" s="48"/>
      <c r="V5" s="48"/>
      <c r="W5" s="48"/>
      <c r="X5" s="47" t="s">
        <v>114</v>
      </c>
      <c r="Y5" s="48"/>
      <c r="Z5" s="48"/>
      <c r="AA5" s="48"/>
      <c r="AB5" s="48"/>
      <c r="AC5" s="47" t="s">
        <v>115</v>
      </c>
      <c r="AD5" s="48"/>
      <c r="AE5" s="48"/>
      <c r="AF5" s="48"/>
      <c r="AG5" s="48"/>
      <c r="AH5" s="47" t="s">
        <v>116</v>
      </c>
      <c r="AI5" s="48"/>
      <c r="AJ5" s="48"/>
      <c r="AK5" s="48"/>
      <c r="AL5" s="48"/>
      <c r="AM5" s="47" t="s">
        <v>117</v>
      </c>
      <c r="AN5" s="48"/>
      <c r="AO5" s="48"/>
      <c r="AP5" s="48"/>
      <c r="AQ5" s="48"/>
      <c r="AR5" s="47" t="s">
        <v>118</v>
      </c>
      <c r="AS5" s="48"/>
      <c r="AT5" s="48"/>
      <c r="AU5" s="48"/>
      <c r="AV5" s="48"/>
      <c r="AW5" s="47" t="s">
        <v>119</v>
      </c>
      <c r="AX5" s="48"/>
      <c r="AY5" s="48"/>
      <c r="AZ5" s="48"/>
      <c r="BA5" s="48"/>
      <c r="BB5" s="47" t="s">
        <v>120</v>
      </c>
      <c r="BC5" s="48"/>
      <c r="BD5" s="48"/>
      <c r="BE5" s="48"/>
      <c r="BF5" s="48"/>
      <c r="BG5" s="47" t="s">
        <v>121</v>
      </c>
      <c r="BH5" s="48"/>
      <c r="BI5" s="48"/>
      <c r="BJ5" s="48"/>
      <c r="BK5" s="48"/>
      <c r="BL5" s="47" t="s">
        <v>122</v>
      </c>
      <c r="BM5" s="48"/>
      <c r="BN5" s="48"/>
      <c r="BO5" s="48"/>
    </row>
    <row r="6" ht="26.25" customHeight="1">
      <c r="A6" s="44">
        <v>1028.0</v>
      </c>
      <c r="B6" s="45" t="s">
        <v>123</v>
      </c>
      <c r="C6" s="44" t="s">
        <v>96</v>
      </c>
      <c r="D6" s="44" t="s">
        <v>97</v>
      </c>
      <c r="E6" s="44" t="s">
        <v>124</v>
      </c>
      <c r="F6" s="44" t="s">
        <v>125</v>
      </c>
      <c r="G6" s="46">
        <v>35.339846</v>
      </c>
      <c r="H6" s="46">
        <v>126.598057</v>
      </c>
      <c r="I6" s="47" t="str">
        <f t="shared" si="1"/>
        <v/>
      </c>
      <c r="J6" s="48">
        <f t="shared" si="2"/>
        <v>0</v>
      </c>
      <c r="K6" s="48" t="str">
        <f>IFERROR(__xludf.DUMMYFUNCTION("REGEXREPLACE(
  INDEX(
    $S$1:$BK$1,
    MATCH(
      MAX(
        MAP($T6:$BI6,$V6:$BK6,LAMBDA(a,c,IF(a=$I6,c)))
      ),
      MAP($T6:$BI6,$V6:$BK6,LAMBDA(a,c,IF(a=$I6,c))),
      0
    )
  ),
  ""^\d+_"",
  """"
)"),"#N/A")</f>
        <v>#N/A</v>
      </c>
      <c r="L6" s="48" t="str">
        <f t="shared" si="3"/>
        <v>#N/A</v>
      </c>
      <c r="M6" s="48" t="str">
        <f t="shared" si="4"/>
        <v>#N/A</v>
      </c>
      <c r="N6" s="47" t="str">
        <f t="shared" si="5"/>
        <v/>
      </c>
      <c r="O6" s="47">
        <f t="shared" si="6"/>
        <v>0</v>
      </c>
      <c r="P6" s="47" t="str">
        <f>IFERROR(__xludf.DUMMYFUNCTION("REGEXREPLACE(
  INDEX(
    {$S$1:$AQ$1,$AW$1:$BF$1},
    MATCH(
      MAX({
        MAP($T6:$AO6,$V6:$AQ6,LAMBDA(a,c,IF(a=$N6,c))),
        MAP($AX6:$BD6,$AZ6:$BF6,LAMBDA(a,c,IF(a=$N6,c)))
      }),
      {
        MAP($T6:$AO6,$V6:$AQ6,LAMBDA(a,c,IF(a=$N"&amp;"6,c))),
        MAP($AX6:$BD6,$AZ6:$BF6,LAMBDA(a,c,IF(a=$N6,c)))
      },
      0
    )
  ),
  ""^\d+_"",
  """"
)"),"#N/A")</f>
        <v>#N/A</v>
      </c>
      <c r="Q6" s="47" t="str">
        <f t="shared" si="7"/>
        <v>#N/A</v>
      </c>
      <c r="R6" s="47" t="str">
        <f t="shared" si="8"/>
        <v>#N/A</v>
      </c>
      <c r="S6" s="47" t="s">
        <v>126</v>
      </c>
      <c r="T6" s="48"/>
      <c r="U6" s="48"/>
      <c r="V6" s="48"/>
      <c r="W6" s="48"/>
      <c r="X6" s="47" t="s">
        <v>127</v>
      </c>
      <c r="Y6" s="48"/>
      <c r="Z6" s="48"/>
      <c r="AA6" s="48"/>
      <c r="AB6" s="48"/>
      <c r="AC6" s="47" t="s">
        <v>128</v>
      </c>
      <c r="AD6" s="48"/>
      <c r="AE6" s="48"/>
      <c r="AF6" s="48"/>
      <c r="AG6" s="48"/>
      <c r="AH6" s="47" t="s">
        <v>129</v>
      </c>
      <c r="AI6" s="48"/>
      <c r="AJ6" s="48"/>
      <c r="AK6" s="48"/>
      <c r="AL6" s="48"/>
      <c r="AM6" s="47" t="s">
        <v>130</v>
      </c>
      <c r="AN6" s="48"/>
      <c r="AO6" s="48"/>
      <c r="AP6" s="48"/>
      <c r="AQ6" s="48"/>
      <c r="AR6" s="47" t="s">
        <v>131</v>
      </c>
      <c r="AS6" s="48"/>
      <c r="AT6" s="48"/>
      <c r="AU6" s="48"/>
      <c r="AV6" s="48"/>
      <c r="AW6" s="47" t="s">
        <v>132</v>
      </c>
      <c r="AX6" s="48"/>
      <c r="AY6" s="48"/>
      <c r="AZ6" s="48"/>
      <c r="BA6" s="48"/>
      <c r="BB6" s="47" t="s">
        <v>133</v>
      </c>
      <c r="BC6" s="48"/>
      <c r="BD6" s="48"/>
      <c r="BE6" s="48"/>
      <c r="BF6" s="48"/>
      <c r="BG6" s="47" t="s">
        <v>134</v>
      </c>
      <c r="BH6" s="48"/>
      <c r="BI6" s="48"/>
      <c r="BJ6" s="48"/>
      <c r="BK6" s="48"/>
      <c r="BL6" s="47" t="s">
        <v>135</v>
      </c>
      <c r="BM6" s="48"/>
      <c r="BN6" s="48"/>
      <c r="BO6" s="48"/>
    </row>
    <row r="7" ht="26.25" customHeight="1">
      <c r="A7" s="44">
        <v>1029.0</v>
      </c>
      <c r="B7" s="45" t="s">
        <v>136</v>
      </c>
      <c r="C7" s="44" t="s">
        <v>96</v>
      </c>
      <c r="D7" s="44" t="s">
        <v>97</v>
      </c>
      <c r="E7" s="44" t="s">
        <v>137</v>
      </c>
      <c r="F7" s="44" t="s">
        <v>138</v>
      </c>
      <c r="G7" s="46">
        <v>35.31930574</v>
      </c>
      <c r="H7" s="46">
        <v>126.5239695</v>
      </c>
      <c r="I7" s="47" t="str">
        <f t="shared" si="1"/>
        <v/>
      </c>
      <c r="J7" s="48">
        <f t="shared" si="2"/>
        <v>0</v>
      </c>
      <c r="K7" s="48" t="str">
        <f>IFERROR(__xludf.DUMMYFUNCTION("REGEXREPLACE(
  INDEX(
    $S$1:$BK$1,
    MATCH(
      MAX(
        MAP($T7:$BI7,$V7:$BK7,LAMBDA(a,c,IF(a=$I7,c)))
      ),
      MAP($T7:$BI7,$V7:$BK7,LAMBDA(a,c,IF(a=$I7,c))),
      0
    )
  ),
  ""^\d+_"",
  """"
)"),"#N/A")</f>
        <v>#N/A</v>
      </c>
      <c r="L7" s="48" t="str">
        <f t="shared" si="3"/>
        <v>#N/A</v>
      </c>
      <c r="M7" s="48" t="str">
        <f t="shared" si="4"/>
        <v>#N/A</v>
      </c>
      <c r="N7" s="47" t="str">
        <f t="shared" si="5"/>
        <v/>
      </c>
      <c r="O7" s="47">
        <f t="shared" si="6"/>
        <v>0</v>
      </c>
      <c r="P7" s="47" t="str">
        <f>IFERROR(__xludf.DUMMYFUNCTION("REGEXREPLACE(
  INDEX(
    {$S$1:$AQ$1,$AW$1:$BF$1},
    MATCH(
      MAX({
        MAP($T7:$AO7,$V7:$AQ7,LAMBDA(a,c,IF(a=$N7,c))),
        MAP($AX7:$BD7,$AZ7:$BF7,LAMBDA(a,c,IF(a=$N7,c)))
      }),
      {
        MAP($T7:$AO7,$V7:$AQ7,LAMBDA(a,c,IF(a=$N"&amp;"7,c))),
        MAP($AX7:$BD7,$AZ7:$BF7,LAMBDA(a,c,IF(a=$N7,c)))
      },
      0
    )
  ),
  ""^\d+_"",
  """"
)"),"#N/A")</f>
        <v>#N/A</v>
      </c>
      <c r="Q7" s="47" t="str">
        <f t="shared" si="7"/>
        <v>#N/A</v>
      </c>
      <c r="R7" s="47" t="str">
        <f t="shared" si="8"/>
        <v>#N/A</v>
      </c>
      <c r="S7" s="47" t="s">
        <v>139</v>
      </c>
      <c r="T7" s="48"/>
      <c r="U7" s="48"/>
      <c r="V7" s="48"/>
      <c r="W7" s="48"/>
      <c r="X7" s="47" t="s">
        <v>140</v>
      </c>
      <c r="Y7" s="48"/>
      <c r="Z7" s="48"/>
      <c r="AA7" s="48"/>
      <c r="AB7" s="48"/>
      <c r="AC7" s="47" t="s">
        <v>141</v>
      </c>
      <c r="AD7" s="48"/>
      <c r="AE7" s="48"/>
      <c r="AF7" s="48"/>
      <c r="AG7" s="48"/>
      <c r="AH7" s="47" t="s">
        <v>142</v>
      </c>
      <c r="AI7" s="48"/>
      <c r="AJ7" s="48"/>
      <c r="AK7" s="48"/>
      <c r="AL7" s="48"/>
      <c r="AM7" s="47" t="s">
        <v>143</v>
      </c>
      <c r="AN7" s="48"/>
      <c r="AO7" s="48"/>
      <c r="AP7" s="48"/>
      <c r="AQ7" s="48"/>
      <c r="AR7" s="47" t="s">
        <v>144</v>
      </c>
      <c r="AS7" s="48"/>
      <c r="AT7" s="48"/>
      <c r="AU7" s="48"/>
      <c r="AV7" s="48"/>
      <c r="AW7" s="47" t="s">
        <v>145</v>
      </c>
      <c r="AX7" s="48"/>
      <c r="AY7" s="48"/>
      <c r="AZ7" s="48"/>
      <c r="BA7" s="48"/>
      <c r="BB7" s="47" t="s">
        <v>146</v>
      </c>
      <c r="BC7" s="48"/>
      <c r="BD7" s="48"/>
      <c r="BE7" s="48"/>
      <c r="BF7" s="48"/>
      <c r="BG7" s="47" t="s">
        <v>147</v>
      </c>
      <c r="BH7" s="48"/>
      <c r="BI7" s="48"/>
      <c r="BJ7" s="48"/>
      <c r="BK7" s="48"/>
      <c r="BL7" s="47" t="s">
        <v>148</v>
      </c>
      <c r="BM7" s="48"/>
      <c r="BN7" s="48"/>
      <c r="BO7" s="48"/>
    </row>
    <row r="8" ht="26.25" customHeight="1">
      <c r="A8" s="44">
        <v>1030.0</v>
      </c>
      <c r="B8" s="45" t="s">
        <v>149</v>
      </c>
      <c r="C8" s="44" t="s">
        <v>96</v>
      </c>
      <c r="D8" s="44" t="s">
        <v>150</v>
      </c>
      <c r="E8" s="44" t="s">
        <v>151</v>
      </c>
      <c r="F8" s="44" t="s">
        <v>152</v>
      </c>
      <c r="G8" s="46">
        <v>35.447291</v>
      </c>
      <c r="H8" s="46">
        <v>127.379342</v>
      </c>
      <c r="I8" s="47" t="str">
        <f t="shared" si="1"/>
        <v/>
      </c>
      <c r="J8" s="48">
        <f t="shared" si="2"/>
        <v>0</v>
      </c>
      <c r="K8" s="48" t="str">
        <f>IFERROR(__xludf.DUMMYFUNCTION("REGEXREPLACE(
  INDEX(
    $S$1:$BK$1,
    MATCH(
      MAX(
        MAP($T8:$BI8,$V8:$BK8,LAMBDA(a,c,IF(a=$I8,c)))
      ),
      MAP($T8:$BI8,$V8:$BK8,LAMBDA(a,c,IF(a=$I8,c))),
      0
    )
  ),
  ""^\d+_"",
  """"
)"),"#N/A")</f>
        <v>#N/A</v>
      </c>
      <c r="L8" s="48" t="str">
        <f t="shared" si="3"/>
        <v>#N/A</v>
      </c>
      <c r="M8" s="48" t="str">
        <f t="shared" si="4"/>
        <v>#N/A</v>
      </c>
      <c r="N8" s="47" t="str">
        <f t="shared" si="5"/>
        <v/>
      </c>
      <c r="O8" s="47">
        <f t="shared" si="6"/>
        <v>0</v>
      </c>
      <c r="P8" s="47" t="str">
        <f>IFERROR(__xludf.DUMMYFUNCTION("REGEXREPLACE(
  INDEX(
    {$S$1:$AQ$1,$AW$1:$BF$1},
    MATCH(
      MAX({
        MAP($T8:$AO8,$V8:$AQ8,LAMBDA(a,c,IF(a=$N8,c))),
        MAP($AX8:$BD8,$AZ8:$BF8,LAMBDA(a,c,IF(a=$N8,c)))
      }),
      {
        MAP($T8:$AO8,$V8:$AQ8,LAMBDA(a,c,IF(a=$N"&amp;"8,c))),
        MAP($AX8:$BD8,$AZ8:$BF8,LAMBDA(a,c,IF(a=$N8,c)))
      },
      0
    )
  ),
  ""^\d+_"",
  """"
)"),"#N/A")</f>
        <v>#N/A</v>
      </c>
      <c r="Q8" s="47" t="str">
        <f t="shared" si="7"/>
        <v>#N/A</v>
      </c>
      <c r="R8" s="47" t="str">
        <f t="shared" si="8"/>
        <v>#N/A</v>
      </c>
      <c r="S8" s="47" t="s">
        <v>153</v>
      </c>
      <c r="T8" s="48"/>
      <c r="U8" s="48"/>
      <c r="V8" s="48"/>
      <c r="W8" s="48"/>
      <c r="X8" s="47" t="s">
        <v>154</v>
      </c>
      <c r="Y8" s="48"/>
      <c r="Z8" s="48"/>
      <c r="AA8" s="48"/>
      <c r="AB8" s="48"/>
      <c r="AC8" s="47" t="s">
        <v>155</v>
      </c>
      <c r="AD8" s="48"/>
      <c r="AE8" s="48"/>
      <c r="AF8" s="48"/>
      <c r="AG8" s="48"/>
      <c r="AH8" s="47" t="s">
        <v>156</v>
      </c>
      <c r="AI8" s="48"/>
      <c r="AJ8" s="48"/>
      <c r="AK8" s="48"/>
      <c r="AL8" s="48"/>
      <c r="AM8" s="47" t="s">
        <v>157</v>
      </c>
      <c r="AN8" s="48"/>
      <c r="AO8" s="48"/>
      <c r="AP8" s="48"/>
      <c r="AQ8" s="48"/>
      <c r="AR8" s="47" t="s">
        <v>158</v>
      </c>
      <c r="AS8" s="48"/>
      <c r="AT8" s="48"/>
      <c r="AU8" s="48"/>
      <c r="AV8" s="48"/>
      <c r="AW8" s="47" t="s">
        <v>159</v>
      </c>
      <c r="AX8" s="48"/>
      <c r="AY8" s="48"/>
      <c r="AZ8" s="48"/>
      <c r="BA8" s="48"/>
      <c r="BB8" s="47" t="s">
        <v>160</v>
      </c>
      <c r="BC8" s="48"/>
      <c r="BD8" s="48"/>
      <c r="BE8" s="48"/>
      <c r="BF8" s="48"/>
      <c r="BG8" s="47" t="s">
        <v>161</v>
      </c>
      <c r="BH8" s="48"/>
      <c r="BI8" s="48"/>
      <c r="BJ8" s="48"/>
      <c r="BK8" s="48"/>
      <c r="BL8" s="47" t="s">
        <v>162</v>
      </c>
      <c r="BM8" s="48"/>
      <c r="BN8" s="48"/>
      <c r="BO8" s="48"/>
    </row>
    <row r="9" ht="26.25" customHeight="1">
      <c r="A9" s="44">
        <v>1031.0</v>
      </c>
      <c r="B9" s="45" t="s">
        <v>163</v>
      </c>
      <c r="C9" s="44" t="s">
        <v>96</v>
      </c>
      <c r="D9" s="44" t="s">
        <v>150</v>
      </c>
      <c r="E9" s="44" t="s">
        <v>164</v>
      </c>
      <c r="F9" s="44" t="s">
        <v>165</v>
      </c>
      <c r="G9" s="46">
        <v>35.35002408</v>
      </c>
      <c r="H9" s="46">
        <v>127.3016161</v>
      </c>
      <c r="I9" s="47" t="str">
        <f t="shared" si="1"/>
        <v/>
      </c>
      <c r="J9" s="48">
        <f t="shared" si="2"/>
        <v>0</v>
      </c>
      <c r="K9" s="48" t="str">
        <f>IFERROR(__xludf.DUMMYFUNCTION("REGEXREPLACE(
  INDEX(
    $S$1:$BK$1,
    MATCH(
      MAX(
        MAP($T9:$BI9,$V9:$BK9,LAMBDA(a,c,IF(a=$I9,c)))
      ),
      MAP($T9:$BI9,$V9:$BK9,LAMBDA(a,c,IF(a=$I9,c))),
      0
    )
  ),
  ""^\d+_"",
  """"
)"),"#N/A")</f>
        <v>#N/A</v>
      </c>
      <c r="L9" s="48" t="str">
        <f t="shared" si="3"/>
        <v>#N/A</v>
      </c>
      <c r="M9" s="48" t="str">
        <f t="shared" si="4"/>
        <v>#N/A</v>
      </c>
      <c r="N9" s="47" t="str">
        <f t="shared" si="5"/>
        <v/>
      </c>
      <c r="O9" s="47">
        <f t="shared" si="6"/>
        <v>0</v>
      </c>
      <c r="P9" s="47" t="str">
        <f>IFERROR(__xludf.DUMMYFUNCTION("REGEXREPLACE(
  INDEX(
    {$S$1:$AQ$1,$AW$1:$BF$1},
    MATCH(
      MAX({
        MAP($T9:$AO9,$V9:$AQ9,LAMBDA(a,c,IF(a=$N9,c))),
        MAP($AX9:$BD9,$AZ9:$BF9,LAMBDA(a,c,IF(a=$N9,c)))
      }),
      {
        MAP($T9:$AO9,$V9:$AQ9,LAMBDA(a,c,IF(a=$N"&amp;"9,c))),
        MAP($AX9:$BD9,$AZ9:$BF9,LAMBDA(a,c,IF(a=$N9,c)))
      },
      0
    )
  ),
  ""^\d+_"",
  """"
)"),"#N/A")</f>
        <v>#N/A</v>
      </c>
      <c r="Q9" s="47" t="str">
        <f t="shared" si="7"/>
        <v>#N/A</v>
      </c>
      <c r="R9" s="47" t="str">
        <f t="shared" si="8"/>
        <v>#N/A</v>
      </c>
      <c r="S9" s="47" t="s">
        <v>166</v>
      </c>
      <c r="T9" s="48"/>
      <c r="U9" s="48"/>
      <c r="V9" s="48"/>
      <c r="W9" s="48"/>
      <c r="X9" s="47" t="s">
        <v>167</v>
      </c>
      <c r="Y9" s="48"/>
      <c r="Z9" s="48"/>
      <c r="AA9" s="48"/>
      <c r="AB9" s="48"/>
      <c r="AC9" s="47" t="s">
        <v>168</v>
      </c>
      <c r="AD9" s="48"/>
      <c r="AE9" s="48"/>
      <c r="AF9" s="48"/>
      <c r="AG9" s="48"/>
      <c r="AH9" s="47" t="s">
        <v>169</v>
      </c>
      <c r="AI9" s="48"/>
      <c r="AJ9" s="48"/>
      <c r="AK9" s="48"/>
      <c r="AL9" s="48"/>
      <c r="AM9" s="47" t="s">
        <v>170</v>
      </c>
      <c r="AN9" s="48"/>
      <c r="AO9" s="48"/>
      <c r="AP9" s="48"/>
      <c r="AQ9" s="48"/>
      <c r="AR9" s="47" t="s">
        <v>171</v>
      </c>
      <c r="AS9" s="48"/>
      <c r="AT9" s="48"/>
      <c r="AU9" s="48"/>
      <c r="AV9" s="48"/>
      <c r="AW9" s="47" t="s">
        <v>172</v>
      </c>
      <c r="AX9" s="48"/>
      <c r="AY9" s="48"/>
      <c r="AZ9" s="48"/>
      <c r="BA9" s="48"/>
      <c r="BB9" s="47" t="s">
        <v>173</v>
      </c>
      <c r="BC9" s="48"/>
      <c r="BD9" s="48"/>
      <c r="BE9" s="48"/>
      <c r="BF9" s="48"/>
      <c r="BG9" s="47" t="s">
        <v>174</v>
      </c>
      <c r="BH9" s="48"/>
      <c r="BI9" s="48"/>
      <c r="BJ9" s="48"/>
      <c r="BK9" s="48"/>
      <c r="BL9" s="47" t="s">
        <v>175</v>
      </c>
      <c r="BM9" s="48"/>
      <c r="BN9" s="48"/>
      <c r="BO9" s="48"/>
    </row>
    <row r="10" ht="26.25" customHeight="1">
      <c r="A10" s="44">
        <v>1032.0</v>
      </c>
      <c r="B10" s="45" t="s">
        <v>176</v>
      </c>
      <c r="C10" s="44" t="s">
        <v>96</v>
      </c>
      <c r="D10" s="44" t="s">
        <v>150</v>
      </c>
      <c r="E10" s="44" t="s">
        <v>177</v>
      </c>
      <c r="F10" s="44" t="s">
        <v>178</v>
      </c>
      <c r="G10" s="46">
        <v>35.37158336</v>
      </c>
      <c r="H10" s="46">
        <v>127.2252189</v>
      </c>
      <c r="I10" s="47" t="str">
        <f t="shared" si="1"/>
        <v/>
      </c>
      <c r="J10" s="48">
        <f t="shared" si="2"/>
        <v>0</v>
      </c>
      <c r="K10" s="48" t="str">
        <f>IFERROR(__xludf.DUMMYFUNCTION("REGEXREPLACE(
  INDEX(
    $S$1:$BK$1,
    MATCH(
      MAX(
        MAP($T10:$BI10,$V10:$BK10,LAMBDA(a,c,IF(a=$I10,c)))
      ),
      MAP($T10:$BI10,$V10:$BK10,LAMBDA(a,c,IF(a=$I10,c))),
      0
    )
  ),
  ""^\d+_"",
  """"
)"),"#N/A")</f>
        <v>#N/A</v>
      </c>
      <c r="L10" s="48" t="str">
        <f t="shared" si="3"/>
        <v>#N/A</v>
      </c>
      <c r="M10" s="48" t="str">
        <f t="shared" si="4"/>
        <v>#N/A</v>
      </c>
      <c r="N10" s="47" t="str">
        <f t="shared" si="5"/>
        <v/>
      </c>
      <c r="O10" s="47">
        <f t="shared" si="6"/>
        <v>0</v>
      </c>
      <c r="P10" s="47" t="str">
        <f>IFERROR(__xludf.DUMMYFUNCTION("REGEXREPLACE(
  INDEX(
    {$S$1:$AQ$1,$AW$1:$BF$1},
    MATCH(
      MAX({
        MAP($T10:$AO10,$V10:$AQ10,LAMBDA(a,c,IF(a=$N10,c))),
        MAP($AX10:$BD10,$AZ10:$BF10,LAMBDA(a,c,IF(a=$N10,c)))
      }),
      {
        MAP($T10:$AO10,$V10:$AQ10,LAMB"&amp;"DA(a,c,IF(a=$N10,c))),
        MAP($AX10:$BD10,$AZ10:$BF10,LAMBDA(a,c,IF(a=$N10,c)))
      },
      0
    )
  ),
  ""^\d+_"",
  """"
)"),"#N/A")</f>
        <v>#N/A</v>
      </c>
      <c r="Q10" s="47" t="str">
        <f t="shared" si="7"/>
        <v>#N/A</v>
      </c>
      <c r="R10" s="47" t="str">
        <f t="shared" si="8"/>
        <v>#N/A</v>
      </c>
      <c r="S10" s="47" t="s">
        <v>179</v>
      </c>
      <c r="T10" s="48"/>
      <c r="U10" s="48"/>
      <c r="V10" s="48"/>
      <c r="W10" s="48"/>
      <c r="X10" s="47" t="s">
        <v>180</v>
      </c>
      <c r="Y10" s="48"/>
      <c r="Z10" s="48"/>
      <c r="AA10" s="48"/>
      <c r="AB10" s="48"/>
      <c r="AC10" s="47" t="s">
        <v>181</v>
      </c>
      <c r="AD10" s="48"/>
      <c r="AE10" s="48"/>
      <c r="AF10" s="48"/>
      <c r="AG10" s="48"/>
      <c r="AH10" s="47" t="s">
        <v>182</v>
      </c>
      <c r="AI10" s="48"/>
      <c r="AJ10" s="48"/>
      <c r="AK10" s="48"/>
      <c r="AL10" s="48"/>
      <c r="AM10" s="47" t="s">
        <v>183</v>
      </c>
      <c r="AN10" s="48"/>
      <c r="AO10" s="48"/>
      <c r="AP10" s="48"/>
      <c r="AQ10" s="48"/>
      <c r="AR10" s="47" t="s">
        <v>184</v>
      </c>
      <c r="AS10" s="48"/>
      <c r="AT10" s="48"/>
      <c r="AU10" s="48"/>
      <c r="AV10" s="48"/>
      <c r="AW10" s="47" t="s">
        <v>185</v>
      </c>
      <c r="AX10" s="48"/>
      <c r="AY10" s="48"/>
      <c r="AZ10" s="48"/>
      <c r="BA10" s="48"/>
      <c r="BB10" s="47" t="s">
        <v>186</v>
      </c>
      <c r="BC10" s="48"/>
      <c r="BD10" s="48"/>
      <c r="BE10" s="48"/>
      <c r="BF10" s="48"/>
      <c r="BG10" s="47" t="s">
        <v>187</v>
      </c>
      <c r="BH10" s="48"/>
      <c r="BI10" s="48"/>
      <c r="BJ10" s="48"/>
      <c r="BK10" s="48"/>
      <c r="BL10" s="47" t="s">
        <v>188</v>
      </c>
      <c r="BM10" s="48"/>
      <c r="BN10" s="48"/>
      <c r="BO10" s="48"/>
    </row>
    <row r="11" ht="26.25" customHeight="1">
      <c r="A11" s="44">
        <v>1033.0</v>
      </c>
      <c r="B11" s="45" t="s">
        <v>189</v>
      </c>
      <c r="C11" s="44" t="s">
        <v>96</v>
      </c>
      <c r="D11" s="44" t="s">
        <v>150</v>
      </c>
      <c r="E11" s="44" t="s">
        <v>190</v>
      </c>
      <c r="F11" s="44" t="s">
        <v>191</v>
      </c>
      <c r="G11" s="46">
        <v>35.41716</v>
      </c>
      <c r="H11" s="46">
        <v>127.297151</v>
      </c>
      <c r="I11" s="47" t="str">
        <f t="shared" si="1"/>
        <v/>
      </c>
      <c r="J11" s="48">
        <f t="shared" si="2"/>
        <v>0</v>
      </c>
      <c r="K11" s="48" t="str">
        <f>IFERROR(__xludf.DUMMYFUNCTION("REGEXREPLACE(
  INDEX(
    $S$1:$BK$1,
    MATCH(
      MAX(
        MAP($T11:$BI11,$V11:$BK11,LAMBDA(a,c,IF(a=$I11,c)))
      ),
      MAP($T11:$BI11,$V11:$BK11,LAMBDA(a,c,IF(a=$I11,c))),
      0
    )
  ),
  ""^\d+_"",
  """"
)"),"#N/A")</f>
        <v>#N/A</v>
      </c>
      <c r="L11" s="48" t="str">
        <f t="shared" si="3"/>
        <v>#N/A</v>
      </c>
      <c r="M11" s="48" t="str">
        <f t="shared" si="4"/>
        <v>#N/A</v>
      </c>
      <c r="N11" s="47" t="str">
        <f t="shared" si="5"/>
        <v/>
      </c>
      <c r="O11" s="47">
        <f t="shared" si="6"/>
        <v>0</v>
      </c>
      <c r="P11" s="47" t="str">
        <f>IFERROR(__xludf.DUMMYFUNCTION("REGEXREPLACE(
  INDEX(
    {$S$1:$AQ$1,$AW$1:$BF$1},
    MATCH(
      MAX({
        MAP($T11:$AO11,$V11:$AQ11,LAMBDA(a,c,IF(a=$N11,c))),
        MAP($AX11:$BD11,$AZ11:$BF11,LAMBDA(a,c,IF(a=$N11,c)))
      }),
      {
        MAP($T11:$AO11,$V11:$AQ11,LAMB"&amp;"DA(a,c,IF(a=$N11,c))),
        MAP($AX11:$BD11,$AZ11:$BF11,LAMBDA(a,c,IF(a=$N11,c)))
      },
      0
    )
  ),
  ""^\d+_"",
  """"
)"),"#N/A")</f>
        <v>#N/A</v>
      </c>
      <c r="Q11" s="47" t="str">
        <f t="shared" si="7"/>
        <v>#N/A</v>
      </c>
      <c r="R11" s="47" t="str">
        <f t="shared" si="8"/>
        <v>#N/A</v>
      </c>
      <c r="S11" s="47" t="s">
        <v>192</v>
      </c>
      <c r="T11" s="48"/>
      <c r="U11" s="48"/>
      <c r="V11" s="48"/>
      <c r="W11" s="48"/>
      <c r="X11" s="47" t="s">
        <v>193</v>
      </c>
      <c r="Y11" s="48"/>
      <c r="Z11" s="48"/>
      <c r="AA11" s="48"/>
      <c r="AB11" s="48"/>
      <c r="AC11" s="47" t="s">
        <v>194</v>
      </c>
      <c r="AD11" s="48"/>
      <c r="AE11" s="48"/>
      <c r="AF11" s="48"/>
      <c r="AG11" s="48"/>
      <c r="AH11" s="47" t="s">
        <v>195</v>
      </c>
      <c r="AI11" s="48"/>
      <c r="AJ11" s="48"/>
      <c r="AK11" s="48"/>
      <c r="AL11" s="48"/>
      <c r="AM11" s="47" t="s">
        <v>196</v>
      </c>
      <c r="AN11" s="48"/>
      <c r="AO11" s="48"/>
      <c r="AP11" s="48"/>
      <c r="AQ11" s="48"/>
      <c r="AR11" s="47" t="s">
        <v>197</v>
      </c>
      <c r="AS11" s="48"/>
      <c r="AT11" s="48"/>
      <c r="AU11" s="48"/>
      <c r="AV11" s="48"/>
      <c r="AW11" s="47" t="s">
        <v>198</v>
      </c>
      <c r="AX11" s="48"/>
      <c r="AY11" s="48"/>
      <c r="AZ11" s="48"/>
      <c r="BA11" s="48"/>
      <c r="BB11" s="47" t="s">
        <v>199</v>
      </c>
      <c r="BC11" s="48"/>
      <c r="BD11" s="48"/>
      <c r="BE11" s="48"/>
      <c r="BF11" s="48"/>
      <c r="BG11" s="47" t="s">
        <v>200</v>
      </c>
      <c r="BH11" s="48"/>
      <c r="BI11" s="48"/>
      <c r="BJ11" s="48"/>
      <c r="BK11" s="48"/>
      <c r="BL11" s="47" t="s">
        <v>201</v>
      </c>
      <c r="BM11" s="48"/>
      <c r="BN11" s="48"/>
      <c r="BO11" s="48"/>
    </row>
    <row r="12" ht="26.25" customHeight="1">
      <c r="A12" s="44">
        <v>1034.0</v>
      </c>
      <c r="B12" s="45" t="s">
        <v>202</v>
      </c>
      <c r="C12" s="44" t="s">
        <v>96</v>
      </c>
      <c r="D12" s="44" t="s">
        <v>150</v>
      </c>
      <c r="E12" s="44" t="s">
        <v>203</v>
      </c>
      <c r="F12" s="44" t="s">
        <v>204</v>
      </c>
      <c r="G12" s="46">
        <v>35.43334</v>
      </c>
      <c r="H12" s="46">
        <v>127.340402</v>
      </c>
      <c r="I12" s="47" t="str">
        <f t="shared" si="1"/>
        <v/>
      </c>
      <c r="J12" s="48">
        <f t="shared" si="2"/>
        <v>0</v>
      </c>
      <c r="K12" s="48" t="str">
        <f>IFERROR(__xludf.DUMMYFUNCTION("REGEXREPLACE(
  INDEX(
    $S$1:$BK$1,
    MATCH(
      MAX(
        MAP($T12:$BI12,$V12:$BK12,LAMBDA(a,c,IF(a=$I12,c)))
      ),
      MAP($T12:$BI12,$V12:$BK12,LAMBDA(a,c,IF(a=$I12,c))),
      0
    )
  ),
  ""^\d+_"",
  """"
)"),"#N/A")</f>
        <v>#N/A</v>
      </c>
      <c r="L12" s="48" t="str">
        <f t="shared" si="3"/>
        <v>#N/A</v>
      </c>
      <c r="M12" s="48" t="str">
        <f t="shared" si="4"/>
        <v>#N/A</v>
      </c>
      <c r="N12" s="47" t="str">
        <f t="shared" si="5"/>
        <v/>
      </c>
      <c r="O12" s="47">
        <f t="shared" si="6"/>
        <v>0</v>
      </c>
      <c r="P12" s="47" t="str">
        <f>IFERROR(__xludf.DUMMYFUNCTION("REGEXREPLACE(
  INDEX(
    {$S$1:$AQ$1,$AW$1:$BF$1},
    MATCH(
      MAX({
        MAP($T12:$AO12,$V12:$AQ12,LAMBDA(a,c,IF(a=$N12,c))),
        MAP($AX12:$BD12,$AZ12:$BF12,LAMBDA(a,c,IF(a=$N12,c)))
      }),
      {
        MAP($T12:$AO12,$V12:$AQ12,LAMB"&amp;"DA(a,c,IF(a=$N12,c))),
        MAP($AX12:$BD12,$AZ12:$BF12,LAMBDA(a,c,IF(a=$N12,c)))
      },
      0
    )
  ),
  ""^\d+_"",
  """"
)"),"#N/A")</f>
        <v>#N/A</v>
      </c>
      <c r="Q12" s="47" t="str">
        <f t="shared" si="7"/>
        <v>#N/A</v>
      </c>
      <c r="R12" s="47" t="str">
        <f t="shared" si="8"/>
        <v>#N/A</v>
      </c>
      <c r="S12" s="47" t="s">
        <v>205</v>
      </c>
      <c r="T12" s="48"/>
      <c r="U12" s="48"/>
      <c r="V12" s="48"/>
      <c r="W12" s="48"/>
      <c r="X12" s="47" t="s">
        <v>206</v>
      </c>
      <c r="Y12" s="48"/>
      <c r="Z12" s="48"/>
      <c r="AA12" s="48"/>
      <c r="AB12" s="48"/>
      <c r="AC12" s="47" t="s">
        <v>207</v>
      </c>
      <c r="AD12" s="48"/>
      <c r="AE12" s="48"/>
      <c r="AF12" s="48"/>
      <c r="AG12" s="48"/>
      <c r="AH12" s="47" t="s">
        <v>208</v>
      </c>
      <c r="AI12" s="48"/>
      <c r="AJ12" s="48"/>
      <c r="AK12" s="48"/>
      <c r="AL12" s="48"/>
      <c r="AM12" s="47" t="s">
        <v>209</v>
      </c>
      <c r="AN12" s="48"/>
      <c r="AO12" s="48"/>
      <c r="AP12" s="48"/>
      <c r="AQ12" s="48"/>
      <c r="AR12" s="47" t="s">
        <v>210</v>
      </c>
      <c r="AS12" s="48"/>
      <c r="AT12" s="48"/>
      <c r="AU12" s="48"/>
      <c r="AV12" s="48"/>
      <c r="AW12" s="47" t="s">
        <v>211</v>
      </c>
      <c r="AX12" s="48"/>
      <c r="AY12" s="48"/>
      <c r="AZ12" s="48"/>
      <c r="BA12" s="48"/>
      <c r="BB12" s="47" t="s">
        <v>212</v>
      </c>
      <c r="BC12" s="48"/>
      <c r="BD12" s="48"/>
      <c r="BE12" s="48"/>
      <c r="BF12" s="48"/>
      <c r="BG12" s="47" t="s">
        <v>213</v>
      </c>
      <c r="BH12" s="48"/>
      <c r="BI12" s="48"/>
      <c r="BJ12" s="48"/>
      <c r="BK12" s="48"/>
      <c r="BL12" s="47" t="s">
        <v>214</v>
      </c>
      <c r="BM12" s="48"/>
      <c r="BN12" s="48"/>
      <c r="BO12" s="48"/>
    </row>
    <row r="13" ht="26.25" customHeight="1">
      <c r="A13" s="44">
        <v>1035.0</v>
      </c>
      <c r="B13" s="45" t="s">
        <v>215</v>
      </c>
      <c r="C13" s="44" t="s">
        <v>96</v>
      </c>
      <c r="D13" s="44" t="s">
        <v>150</v>
      </c>
      <c r="E13" s="44" t="s">
        <v>216</v>
      </c>
      <c r="F13" s="44" t="s">
        <v>217</v>
      </c>
      <c r="G13" s="46">
        <v>35.51608615</v>
      </c>
      <c r="H13" s="46">
        <v>127.3666281</v>
      </c>
      <c r="I13" s="47" t="str">
        <f t="shared" si="1"/>
        <v/>
      </c>
      <c r="J13" s="48">
        <f t="shared" si="2"/>
        <v>0</v>
      </c>
      <c r="K13" s="48" t="str">
        <f>IFERROR(__xludf.DUMMYFUNCTION("REGEXREPLACE(
  INDEX(
    $S$1:$BK$1,
    MATCH(
      MAX(
        MAP($T13:$BI13,$V13:$BK13,LAMBDA(a,c,IF(a=$I13,c)))
      ),
      MAP($T13:$BI13,$V13:$BK13,LAMBDA(a,c,IF(a=$I13,c))),
      0
    )
  ),
  ""^\d+_"",
  """"
)"),"#N/A")</f>
        <v>#N/A</v>
      </c>
      <c r="L13" s="48" t="str">
        <f t="shared" si="3"/>
        <v>#N/A</v>
      </c>
      <c r="M13" s="48" t="str">
        <f t="shared" si="4"/>
        <v>#N/A</v>
      </c>
      <c r="N13" s="47" t="str">
        <f t="shared" si="5"/>
        <v/>
      </c>
      <c r="O13" s="47">
        <f t="shared" si="6"/>
        <v>0</v>
      </c>
      <c r="P13" s="47" t="str">
        <f>IFERROR(__xludf.DUMMYFUNCTION("REGEXREPLACE(
  INDEX(
    {$S$1:$AQ$1,$AW$1:$BF$1},
    MATCH(
      MAX({
        MAP($T13:$AO13,$V13:$AQ13,LAMBDA(a,c,IF(a=$N13,c))),
        MAP($AX13:$BD13,$AZ13:$BF13,LAMBDA(a,c,IF(a=$N13,c)))
      }),
      {
        MAP($T13:$AO13,$V13:$AQ13,LAMB"&amp;"DA(a,c,IF(a=$N13,c))),
        MAP($AX13:$BD13,$AZ13:$BF13,LAMBDA(a,c,IF(a=$N13,c)))
      },
      0
    )
  ),
  ""^\d+_"",
  """"
)"),"#N/A")</f>
        <v>#N/A</v>
      </c>
      <c r="Q13" s="47" t="str">
        <f t="shared" si="7"/>
        <v>#N/A</v>
      </c>
      <c r="R13" s="47" t="str">
        <f t="shared" si="8"/>
        <v>#N/A</v>
      </c>
      <c r="S13" s="47" t="s">
        <v>218</v>
      </c>
      <c r="T13" s="48"/>
      <c r="U13" s="48"/>
      <c r="V13" s="48"/>
      <c r="W13" s="48"/>
      <c r="X13" s="47" t="s">
        <v>219</v>
      </c>
      <c r="Y13" s="48"/>
      <c r="Z13" s="48"/>
      <c r="AA13" s="48"/>
      <c r="AB13" s="48"/>
      <c r="AC13" s="47" t="s">
        <v>220</v>
      </c>
      <c r="AD13" s="48"/>
      <c r="AE13" s="48"/>
      <c r="AF13" s="48"/>
      <c r="AG13" s="48"/>
      <c r="AH13" s="47" t="s">
        <v>221</v>
      </c>
      <c r="AI13" s="48"/>
      <c r="AJ13" s="48"/>
      <c r="AK13" s="48"/>
      <c r="AL13" s="48"/>
      <c r="AM13" s="47" t="s">
        <v>222</v>
      </c>
      <c r="AN13" s="48"/>
      <c r="AO13" s="48"/>
      <c r="AP13" s="48"/>
      <c r="AQ13" s="48"/>
      <c r="AR13" s="47" t="s">
        <v>223</v>
      </c>
      <c r="AS13" s="48"/>
      <c r="AT13" s="48"/>
      <c r="AU13" s="48"/>
      <c r="AV13" s="48"/>
      <c r="AW13" s="47" t="s">
        <v>224</v>
      </c>
      <c r="AX13" s="48"/>
      <c r="AY13" s="48"/>
      <c r="AZ13" s="48"/>
      <c r="BA13" s="48"/>
      <c r="BB13" s="47" t="s">
        <v>225</v>
      </c>
      <c r="BC13" s="48"/>
      <c r="BD13" s="48"/>
      <c r="BE13" s="48"/>
      <c r="BF13" s="48"/>
      <c r="BG13" s="47" t="s">
        <v>226</v>
      </c>
      <c r="BH13" s="48"/>
      <c r="BI13" s="48"/>
      <c r="BJ13" s="48"/>
      <c r="BK13" s="48"/>
      <c r="BL13" s="47" t="s">
        <v>227</v>
      </c>
      <c r="BM13" s="48"/>
      <c r="BN13" s="48"/>
      <c r="BO13" s="48"/>
    </row>
    <row r="14" ht="26.25" customHeight="1">
      <c r="A14" s="44">
        <v>1036.0</v>
      </c>
      <c r="B14" s="45" t="s">
        <v>228</v>
      </c>
      <c r="C14" s="44" t="s">
        <v>96</v>
      </c>
      <c r="D14" s="44" t="s">
        <v>150</v>
      </c>
      <c r="E14" s="44" t="s">
        <v>229</v>
      </c>
      <c r="F14" s="44" t="s">
        <v>230</v>
      </c>
      <c r="G14" s="46">
        <v>35.416426</v>
      </c>
      <c r="H14" s="46">
        <v>127.390494</v>
      </c>
      <c r="I14" s="47" t="str">
        <f t="shared" si="1"/>
        <v/>
      </c>
      <c r="J14" s="48">
        <f t="shared" si="2"/>
        <v>0</v>
      </c>
      <c r="K14" s="48" t="str">
        <f>IFERROR(__xludf.DUMMYFUNCTION("REGEXREPLACE(
  INDEX(
    $S$1:$BK$1,
    MATCH(
      MAX(
        MAP($T14:$BI14,$V14:$BK14,LAMBDA(a,c,IF(a=$I14,c)))
      ),
      MAP($T14:$BI14,$V14:$BK14,LAMBDA(a,c,IF(a=$I14,c))),
      0
    )
  ),
  ""^\d+_"",
  """"
)"),"#N/A")</f>
        <v>#N/A</v>
      </c>
      <c r="L14" s="48" t="str">
        <f t="shared" si="3"/>
        <v>#N/A</v>
      </c>
      <c r="M14" s="48" t="str">
        <f t="shared" si="4"/>
        <v>#N/A</v>
      </c>
      <c r="N14" s="47" t="str">
        <f t="shared" si="5"/>
        <v/>
      </c>
      <c r="O14" s="47">
        <f t="shared" si="6"/>
        <v>0</v>
      </c>
      <c r="P14" s="47" t="str">
        <f>IFERROR(__xludf.DUMMYFUNCTION("REGEXREPLACE(
  INDEX(
    {$S$1:$AQ$1,$AW$1:$BF$1},
    MATCH(
      MAX({
        MAP($T14:$AO14,$V14:$AQ14,LAMBDA(a,c,IF(a=$N14,c))),
        MAP($AX14:$BD14,$AZ14:$BF14,LAMBDA(a,c,IF(a=$N14,c)))
      }),
      {
        MAP($T14:$AO14,$V14:$AQ14,LAMB"&amp;"DA(a,c,IF(a=$N14,c))),
        MAP($AX14:$BD14,$AZ14:$BF14,LAMBDA(a,c,IF(a=$N14,c)))
      },
      0
    )
  ),
  ""^\d+_"",
  """"
)"),"#N/A")</f>
        <v>#N/A</v>
      </c>
      <c r="Q14" s="47" t="str">
        <f t="shared" si="7"/>
        <v>#N/A</v>
      </c>
      <c r="R14" s="47" t="str">
        <f t="shared" si="8"/>
        <v>#N/A</v>
      </c>
      <c r="S14" s="47" t="s">
        <v>231</v>
      </c>
      <c r="T14" s="48"/>
      <c r="U14" s="48"/>
      <c r="V14" s="48"/>
      <c r="W14" s="48"/>
      <c r="X14" s="47" t="s">
        <v>232</v>
      </c>
      <c r="Y14" s="48"/>
      <c r="Z14" s="48"/>
      <c r="AA14" s="48"/>
      <c r="AB14" s="48"/>
      <c r="AC14" s="47" t="s">
        <v>233</v>
      </c>
      <c r="AD14" s="48"/>
      <c r="AE14" s="48"/>
      <c r="AF14" s="48"/>
      <c r="AG14" s="48"/>
      <c r="AH14" s="47" t="s">
        <v>234</v>
      </c>
      <c r="AI14" s="48"/>
      <c r="AJ14" s="48"/>
      <c r="AK14" s="48"/>
      <c r="AL14" s="48"/>
      <c r="AM14" s="47" t="s">
        <v>235</v>
      </c>
      <c r="AN14" s="48"/>
      <c r="AO14" s="48"/>
      <c r="AP14" s="48"/>
      <c r="AQ14" s="48"/>
      <c r="AR14" s="47" t="s">
        <v>236</v>
      </c>
      <c r="AS14" s="48"/>
      <c r="AT14" s="48"/>
      <c r="AU14" s="48"/>
      <c r="AV14" s="48"/>
      <c r="AW14" s="47" t="s">
        <v>237</v>
      </c>
      <c r="AX14" s="48"/>
      <c r="AY14" s="48"/>
      <c r="AZ14" s="48"/>
      <c r="BA14" s="48"/>
      <c r="BB14" s="47" t="s">
        <v>238</v>
      </c>
      <c r="BC14" s="48"/>
      <c r="BD14" s="48"/>
      <c r="BE14" s="48"/>
      <c r="BF14" s="48"/>
      <c r="BG14" s="47" t="s">
        <v>239</v>
      </c>
      <c r="BH14" s="48"/>
      <c r="BI14" s="48"/>
      <c r="BJ14" s="48"/>
      <c r="BK14" s="48"/>
      <c r="BL14" s="47" t="s">
        <v>240</v>
      </c>
      <c r="BM14" s="48"/>
      <c r="BN14" s="48"/>
      <c r="BO14" s="48"/>
    </row>
    <row r="15" ht="26.25" customHeight="1">
      <c r="A15" s="44">
        <v>1037.0</v>
      </c>
      <c r="B15" s="45" t="s">
        <v>241</v>
      </c>
      <c r="C15" s="44" t="s">
        <v>96</v>
      </c>
      <c r="D15" s="44" t="s">
        <v>150</v>
      </c>
      <c r="E15" s="44" t="s">
        <v>242</v>
      </c>
      <c r="F15" s="44" t="s">
        <v>243</v>
      </c>
      <c r="G15" s="46">
        <v>35.48073532</v>
      </c>
      <c r="H15" s="46">
        <v>127.407778</v>
      </c>
      <c r="I15" s="47" t="str">
        <f t="shared" si="1"/>
        <v/>
      </c>
      <c r="J15" s="48">
        <f t="shared" si="2"/>
        <v>0</v>
      </c>
      <c r="K15" s="48" t="str">
        <f>IFERROR(__xludf.DUMMYFUNCTION("REGEXREPLACE(
  INDEX(
    $S$1:$BK$1,
    MATCH(
      MAX(
        MAP($T15:$BI15,$V15:$BK15,LAMBDA(a,c,IF(a=$I15,c)))
      ),
      MAP($T15:$BI15,$V15:$BK15,LAMBDA(a,c,IF(a=$I15,c))),
      0
    )
  ),
  ""^\d+_"",
  """"
)"),"#N/A")</f>
        <v>#N/A</v>
      </c>
      <c r="L15" s="48" t="str">
        <f t="shared" si="3"/>
        <v>#N/A</v>
      </c>
      <c r="M15" s="48" t="str">
        <f t="shared" si="4"/>
        <v>#N/A</v>
      </c>
      <c r="N15" s="47" t="str">
        <f t="shared" si="5"/>
        <v/>
      </c>
      <c r="O15" s="47">
        <f t="shared" si="6"/>
        <v>0</v>
      </c>
      <c r="P15" s="47" t="str">
        <f>IFERROR(__xludf.DUMMYFUNCTION("REGEXREPLACE(
  INDEX(
    {$S$1:$AQ$1,$AW$1:$BF$1},
    MATCH(
      MAX({
        MAP($T15:$AO15,$V15:$AQ15,LAMBDA(a,c,IF(a=$N15,c))),
        MAP($AX15:$BD15,$AZ15:$BF15,LAMBDA(a,c,IF(a=$N15,c)))
      }),
      {
        MAP($T15:$AO15,$V15:$AQ15,LAMB"&amp;"DA(a,c,IF(a=$N15,c))),
        MAP($AX15:$BD15,$AZ15:$BF15,LAMBDA(a,c,IF(a=$N15,c)))
      },
      0
    )
  ),
  ""^\d+_"",
  """"
)"),"#N/A")</f>
        <v>#N/A</v>
      </c>
      <c r="Q15" s="47" t="str">
        <f t="shared" si="7"/>
        <v>#N/A</v>
      </c>
      <c r="R15" s="47" t="str">
        <f t="shared" si="8"/>
        <v>#N/A</v>
      </c>
      <c r="S15" s="47" t="s">
        <v>244</v>
      </c>
      <c r="T15" s="48"/>
      <c r="U15" s="48"/>
      <c r="V15" s="48"/>
      <c r="W15" s="48"/>
      <c r="X15" s="47" t="s">
        <v>245</v>
      </c>
      <c r="Y15" s="48"/>
      <c r="Z15" s="48"/>
      <c r="AA15" s="48"/>
      <c r="AB15" s="48"/>
      <c r="AC15" s="47" t="s">
        <v>246</v>
      </c>
      <c r="AD15" s="48"/>
      <c r="AE15" s="48"/>
      <c r="AF15" s="48"/>
      <c r="AG15" s="48"/>
      <c r="AH15" s="47" t="s">
        <v>247</v>
      </c>
      <c r="AI15" s="48"/>
      <c r="AJ15" s="48"/>
      <c r="AK15" s="48"/>
      <c r="AL15" s="48"/>
      <c r="AM15" s="47" t="s">
        <v>248</v>
      </c>
      <c r="AN15" s="48"/>
      <c r="AO15" s="48"/>
      <c r="AP15" s="48"/>
      <c r="AQ15" s="48"/>
      <c r="AR15" s="47" t="s">
        <v>249</v>
      </c>
      <c r="AS15" s="48"/>
      <c r="AT15" s="48"/>
      <c r="AU15" s="48"/>
      <c r="AV15" s="48"/>
      <c r="AW15" s="47" t="s">
        <v>250</v>
      </c>
      <c r="AX15" s="48"/>
      <c r="AY15" s="48"/>
      <c r="AZ15" s="48"/>
      <c r="BA15" s="48"/>
      <c r="BB15" s="47" t="s">
        <v>251</v>
      </c>
      <c r="BC15" s="48"/>
      <c r="BD15" s="48"/>
      <c r="BE15" s="48"/>
      <c r="BF15" s="48"/>
      <c r="BG15" s="47" t="s">
        <v>252</v>
      </c>
      <c r="BH15" s="48"/>
      <c r="BI15" s="48"/>
      <c r="BJ15" s="48"/>
      <c r="BK15" s="48"/>
      <c r="BL15" s="47" t="s">
        <v>253</v>
      </c>
      <c r="BM15" s="48"/>
      <c r="BN15" s="48"/>
      <c r="BO15" s="48"/>
    </row>
    <row r="16" ht="26.25" customHeight="1">
      <c r="A16" s="44">
        <v>1038.0</v>
      </c>
      <c r="B16" s="45" t="s">
        <v>254</v>
      </c>
      <c r="C16" s="44" t="s">
        <v>96</v>
      </c>
      <c r="D16" s="44" t="s">
        <v>150</v>
      </c>
      <c r="E16" s="44" t="s">
        <v>255</v>
      </c>
      <c r="F16" s="44" t="s">
        <v>256</v>
      </c>
      <c r="G16" s="46">
        <v>35.5408792</v>
      </c>
      <c r="H16" s="46">
        <v>127.3958459</v>
      </c>
      <c r="I16" s="47" t="str">
        <f t="shared" si="1"/>
        <v/>
      </c>
      <c r="J16" s="48">
        <f t="shared" si="2"/>
        <v>0</v>
      </c>
      <c r="K16" s="48" t="str">
        <f>IFERROR(__xludf.DUMMYFUNCTION("REGEXREPLACE(
  INDEX(
    $S$1:$BK$1,
    MATCH(
      MAX(
        MAP($T16:$BI16,$V16:$BK16,LAMBDA(a,c,IF(a=$I16,c)))
      ),
      MAP($T16:$BI16,$V16:$BK16,LAMBDA(a,c,IF(a=$I16,c))),
      0
    )
  ),
  ""^\d+_"",
  """"
)"),"#N/A")</f>
        <v>#N/A</v>
      </c>
      <c r="L16" s="48" t="str">
        <f t="shared" si="3"/>
        <v>#N/A</v>
      </c>
      <c r="M16" s="48" t="str">
        <f t="shared" si="4"/>
        <v>#N/A</v>
      </c>
      <c r="N16" s="47" t="str">
        <f t="shared" si="5"/>
        <v/>
      </c>
      <c r="O16" s="47">
        <f t="shared" si="6"/>
        <v>0</v>
      </c>
      <c r="P16" s="47" t="str">
        <f>IFERROR(__xludf.DUMMYFUNCTION("REGEXREPLACE(
  INDEX(
    {$S$1:$AQ$1,$AW$1:$BF$1},
    MATCH(
      MAX({
        MAP($T16:$AO16,$V16:$AQ16,LAMBDA(a,c,IF(a=$N16,c))),
        MAP($AX16:$BD16,$AZ16:$BF16,LAMBDA(a,c,IF(a=$N16,c)))
      }),
      {
        MAP($T16:$AO16,$V16:$AQ16,LAMB"&amp;"DA(a,c,IF(a=$N16,c))),
        MAP($AX16:$BD16,$AZ16:$BF16,LAMBDA(a,c,IF(a=$N16,c)))
      },
      0
    )
  ),
  ""^\d+_"",
  """"
)"),"#N/A")</f>
        <v>#N/A</v>
      </c>
      <c r="Q16" s="47" t="str">
        <f t="shared" si="7"/>
        <v>#N/A</v>
      </c>
      <c r="R16" s="47" t="str">
        <f t="shared" si="8"/>
        <v>#N/A</v>
      </c>
      <c r="S16" s="47" t="s">
        <v>257</v>
      </c>
      <c r="T16" s="48"/>
      <c r="U16" s="48"/>
      <c r="V16" s="48"/>
      <c r="W16" s="48"/>
      <c r="X16" s="47" t="s">
        <v>258</v>
      </c>
      <c r="Y16" s="48"/>
      <c r="Z16" s="48"/>
      <c r="AA16" s="48"/>
      <c r="AB16" s="48"/>
      <c r="AC16" s="47" t="s">
        <v>259</v>
      </c>
      <c r="AD16" s="48"/>
      <c r="AE16" s="48"/>
      <c r="AF16" s="48"/>
      <c r="AG16" s="48"/>
      <c r="AH16" s="47" t="s">
        <v>260</v>
      </c>
      <c r="AI16" s="48"/>
      <c r="AJ16" s="48"/>
      <c r="AK16" s="48"/>
      <c r="AL16" s="48"/>
      <c r="AM16" s="47" t="s">
        <v>261</v>
      </c>
      <c r="AN16" s="48"/>
      <c r="AO16" s="48"/>
      <c r="AP16" s="48"/>
      <c r="AQ16" s="48"/>
      <c r="AR16" s="47" t="s">
        <v>262</v>
      </c>
      <c r="AS16" s="48"/>
      <c r="AT16" s="48"/>
      <c r="AU16" s="48"/>
      <c r="AV16" s="48"/>
      <c r="AW16" s="47" t="s">
        <v>263</v>
      </c>
      <c r="AX16" s="48"/>
      <c r="AY16" s="48"/>
      <c r="AZ16" s="48"/>
      <c r="BA16" s="48"/>
      <c r="BB16" s="47" t="s">
        <v>264</v>
      </c>
      <c r="BC16" s="48"/>
      <c r="BD16" s="48"/>
      <c r="BE16" s="48"/>
      <c r="BF16" s="48"/>
      <c r="BG16" s="47" t="s">
        <v>265</v>
      </c>
      <c r="BH16" s="48"/>
      <c r="BI16" s="48"/>
      <c r="BJ16" s="48"/>
      <c r="BK16" s="48"/>
      <c r="BL16" s="47" t="s">
        <v>266</v>
      </c>
      <c r="BM16" s="48"/>
      <c r="BN16" s="48"/>
      <c r="BO16" s="48"/>
    </row>
    <row r="17" ht="26.25" customHeight="1">
      <c r="A17" s="44">
        <v>1039.0</v>
      </c>
      <c r="B17" s="45" t="s">
        <v>267</v>
      </c>
      <c r="C17" s="44" t="s">
        <v>96</v>
      </c>
      <c r="D17" s="44" t="s">
        <v>150</v>
      </c>
      <c r="E17" s="44" t="s">
        <v>268</v>
      </c>
      <c r="F17" s="44" t="s">
        <v>269</v>
      </c>
      <c r="G17" s="46">
        <v>35.42260062</v>
      </c>
      <c r="H17" s="46">
        <v>127.6438516</v>
      </c>
      <c r="I17" s="47" t="str">
        <f t="shared" si="1"/>
        <v/>
      </c>
      <c r="J17" s="48">
        <f t="shared" si="2"/>
        <v>0</v>
      </c>
      <c r="K17" s="48" t="str">
        <f>IFERROR(__xludf.DUMMYFUNCTION("REGEXREPLACE(
  INDEX(
    $S$1:$BK$1,
    MATCH(
      MAX(
        MAP($T17:$BI17,$V17:$BK17,LAMBDA(a,c,IF(a=$I17,c)))
      ),
      MAP($T17:$BI17,$V17:$BK17,LAMBDA(a,c,IF(a=$I17,c))),
      0
    )
  ),
  ""^\d+_"",
  """"
)"),"#N/A")</f>
        <v>#N/A</v>
      </c>
      <c r="L17" s="48" t="str">
        <f t="shared" si="3"/>
        <v>#N/A</v>
      </c>
      <c r="M17" s="48" t="str">
        <f t="shared" si="4"/>
        <v>#N/A</v>
      </c>
      <c r="N17" s="47" t="str">
        <f t="shared" si="5"/>
        <v/>
      </c>
      <c r="O17" s="47">
        <f t="shared" si="6"/>
        <v>0</v>
      </c>
      <c r="P17" s="47" t="str">
        <f>IFERROR(__xludf.DUMMYFUNCTION("REGEXREPLACE(
  INDEX(
    {$S$1:$AQ$1,$AW$1:$BF$1},
    MATCH(
      MAX({
        MAP($T17:$AO17,$V17:$AQ17,LAMBDA(a,c,IF(a=$N17,c))),
        MAP($AX17:$BD17,$AZ17:$BF17,LAMBDA(a,c,IF(a=$N17,c)))
      }),
      {
        MAP($T17:$AO17,$V17:$AQ17,LAMB"&amp;"DA(a,c,IF(a=$N17,c))),
        MAP($AX17:$BD17,$AZ17:$BF17,LAMBDA(a,c,IF(a=$N17,c)))
      },
      0
    )
  ),
  ""^\d+_"",
  """"
)"),"#N/A")</f>
        <v>#N/A</v>
      </c>
      <c r="Q17" s="47" t="str">
        <f t="shared" si="7"/>
        <v>#N/A</v>
      </c>
      <c r="R17" s="47" t="str">
        <f t="shared" si="8"/>
        <v>#N/A</v>
      </c>
      <c r="S17" s="47" t="s">
        <v>270</v>
      </c>
      <c r="T17" s="48"/>
      <c r="U17" s="48"/>
      <c r="V17" s="48"/>
      <c r="W17" s="48"/>
      <c r="X17" s="47" t="s">
        <v>271</v>
      </c>
      <c r="Y17" s="48"/>
      <c r="Z17" s="48"/>
      <c r="AA17" s="48"/>
      <c r="AB17" s="48"/>
      <c r="AC17" s="47" t="s">
        <v>272</v>
      </c>
      <c r="AD17" s="48"/>
      <c r="AE17" s="48"/>
      <c r="AF17" s="48"/>
      <c r="AG17" s="48"/>
      <c r="AH17" s="47" t="s">
        <v>273</v>
      </c>
      <c r="AI17" s="48"/>
      <c r="AJ17" s="48"/>
      <c r="AK17" s="48"/>
      <c r="AL17" s="48"/>
      <c r="AM17" s="47" t="s">
        <v>274</v>
      </c>
      <c r="AN17" s="48"/>
      <c r="AO17" s="48"/>
      <c r="AP17" s="48"/>
      <c r="AQ17" s="48"/>
      <c r="AR17" s="47" t="s">
        <v>275</v>
      </c>
      <c r="AS17" s="48"/>
      <c r="AT17" s="48"/>
      <c r="AU17" s="48"/>
      <c r="AV17" s="48"/>
      <c r="AW17" s="47" t="s">
        <v>276</v>
      </c>
      <c r="AX17" s="48"/>
      <c r="AY17" s="48"/>
      <c r="AZ17" s="48"/>
      <c r="BA17" s="48"/>
      <c r="BB17" s="47" t="s">
        <v>277</v>
      </c>
      <c r="BC17" s="48"/>
      <c r="BD17" s="48"/>
      <c r="BE17" s="48"/>
      <c r="BF17" s="48"/>
      <c r="BG17" s="47" t="s">
        <v>278</v>
      </c>
      <c r="BH17" s="48"/>
      <c r="BI17" s="48"/>
      <c r="BJ17" s="48"/>
      <c r="BK17" s="48"/>
      <c r="BL17" s="47" t="s">
        <v>279</v>
      </c>
      <c r="BM17" s="48"/>
      <c r="BN17" s="48"/>
      <c r="BO17" s="48"/>
    </row>
    <row r="18" ht="26.25" customHeight="1">
      <c r="A18" s="44">
        <v>1040.0</v>
      </c>
      <c r="B18" s="45" t="s">
        <v>280</v>
      </c>
      <c r="C18" s="44" t="s">
        <v>96</v>
      </c>
      <c r="D18" s="44" t="s">
        <v>150</v>
      </c>
      <c r="E18" s="44" t="s">
        <v>281</v>
      </c>
      <c r="F18" s="44" t="s">
        <v>282</v>
      </c>
      <c r="G18" s="46">
        <v>35.5288702</v>
      </c>
      <c r="H18" s="46">
        <v>127.4723059</v>
      </c>
      <c r="I18" s="47" t="str">
        <f t="shared" si="1"/>
        <v/>
      </c>
      <c r="J18" s="48">
        <f t="shared" si="2"/>
        <v>0</v>
      </c>
      <c r="K18" s="48" t="str">
        <f>IFERROR(__xludf.DUMMYFUNCTION("REGEXREPLACE(
  INDEX(
    $S$1:$BK$1,
    MATCH(
      MAX(
        MAP($T18:$BI18,$V18:$BK18,LAMBDA(a,c,IF(a=$I18,c)))
      ),
      MAP($T18:$BI18,$V18:$BK18,LAMBDA(a,c,IF(a=$I18,c))),
      0
    )
  ),
  ""^\d+_"",
  """"
)"),"#N/A")</f>
        <v>#N/A</v>
      </c>
      <c r="L18" s="48" t="str">
        <f t="shared" si="3"/>
        <v>#N/A</v>
      </c>
      <c r="M18" s="48" t="str">
        <f t="shared" si="4"/>
        <v>#N/A</v>
      </c>
      <c r="N18" s="47" t="str">
        <f t="shared" si="5"/>
        <v/>
      </c>
      <c r="O18" s="47">
        <f t="shared" si="6"/>
        <v>0</v>
      </c>
      <c r="P18" s="47" t="str">
        <f>IFERROR(__xludf.DUMMYFUNCTION("REGEXREPLACE(
  INDEX(
    {$S$1:$AQ$1,$AW$1:$BF$1},
    MATCH(
      MAX({
        MAP($T18:$AO18,$V18:$AQ18,LAMBDA(a,c,IF(a=$N18,c))),
        MAP($AX18:$BD18,$AZ18:$BF18,LAMBDA(a,c,IF(a=$N18,c)))
      }),
      {
        MAP($T18:$AO18,$V18:$AQ18,LAMB"&amp;"DA(a,c,IF(a=$N18,c))),
        MAP($AX18:$BD18,$AZ18:$BF18,LAMBDA(a,c,IF(a=$N18,c)))
      },
      0
    )
  ),
  ""^\d+_"",
  """"
)"),"#N/A")</f>
        <v>#N/A</v>
      </c>
      <c r="Q18" s="47" t="str">
        <f t="shared" si="7"/>
        <v>#N/A</v>
      </c>
      <c r="R18" s="47" t="str">
        <f t="shared" si="8"/>
        <v>#N/A</v>
      </c>
      <c r="S18" s="47" t="s">
        <v>283</v>
      </c>
      <c r="T18" s="48"/>
      <c r="U18" s="48"/>
      <c r="V18" s="48"/>
      <c r="W18" s="48"/>
      <c r="X18" s="47" t="s">
        <v>284</v>
      </c>
      <c r="Y18" s="48"/>
      <c r="Z18" s="48"/>
      <c r="AA18" s="48"/>
      <c r="AB18" s="48"/>
      <c r="AC18" s="47" t="s">
        <v>285</v>
      </c>
      <c r="AD18" s="48"/>
      <c r="AE18" s="48"/>
      <c r="AF18" s="48"/>
      <c r="AG18" s="48"/>
      <c r="AH18" s="47" t="s">
        <v>286</v>
      </c>
      <c r="AI18" s="48"/>
      <c r="AJ18" s="48"/>
      <c r="AK18" s="48"/>
      <c r="AL18" s="48"/>
      <c r="AM18" s="47" t="s">
        <v>287</v>
      </c>
      <c r="AN18" s="48"/>
      <c r="AO18" s="48"/>
      <c r="AP18" s="48"/>
      <c r="AQ18" s="48"/>
      <c r="AR18" s="47" t="s">
        <v>288</v>
      </c>
      <c r="AS18" s="48"/>
      <c r="AT18" s="48"/>
      <c r="AU18" s="48"/>
      <c r="AV18" s="48"/>
      <c r="AW18" s="47" t="s">
        <v>289</v>
      </c>
      <c r="AX18" s="48"/>
      <c r="AY18" s="48"/>
      <c r="AZ18" s="48"/>
      <c r="BA18" s="48"/>
      <c r="BB18" s="47" t="s">
        <v>290</v>
      </c>
      <c r="BC18" s="48"/>
      <c r="BD18" s="48"/>
      <c r="BE18" s="48"/>
      <c r="BF18" s="48"/>
      <c r="BG18" s="47" t="s">
        <v>291</v>
      </c>
      <c r="BH18" s="48"/>
      <c r="BI18" s="48"/>
      <c r="BJ18" s="48"/>
      <c r="BK18" s="48"/>
      <c r="BL18" s="47" t="s">
        <v>292</v>
      </c>
      <c r="BM18" s="48"/>
      <c r="BN18" s="48"/>
      <c r="BO18" s="48"/>
    </row>
    <row r="19" ht="26.25" customHeight="1">
      <c r="A19" s="44">
        <v>1041.0</v>
      </c>
      <c r="B19" s="45" t="s">
        <v>293</v>
      </c>
      <c r="C19" s="44" t="s">
        <v>96</v>
      </c>
      <c r="D19" s="44" t="s">
        <v>150</v>
      </c>
      <c r="E19" s="44" t="s">
        <v>294</v>
      </c>
      <c r="F19" s="44" t="s">
        <v>295</v>
      </c>
      <c r="G19" s="46">
        <v>35.49350189</v>
      </c>
      <c r="H19" s="46">
        <v>127.4740356</v>
      </c>
      <c r="I19" s="47" t="str">
        <f t="shared" si="1"/>
        <v/>
      </c>
      <c r="J19" s="48">
        <f t="shared" si="2"/>
        <v>0</v>
      </c>
      <c r="K19" s="48" t="str">
        <f>IFERROR(__xludf.DUMMYFUNCTION("REGEXREPLACE(
  INDEX(
    $S$1:$BK$1,
    MATCH(
      MAX(
        MAP($T19:$BI19,$V19:$BK19,LAMBDA(a,c,IF(a=$I19,c)))
      ),
      MAP($T19:$BI19,$V19:$BK19,LAMBDA(a,c,IF(a=$I19,c))),
      0
    )
  ),
  ""^\d+_"",
  """"
)"),"#N/A")</f>
        <v>#N/A</v>
      </c>
      <c r="L19" s="48" t="str">
        <f t="shared" si="3"/>
        <v>#N/A</v>
      </c>
      <c r="M19" s="48" t="str">
        <f t="shared" si="4"/>
        <v>#N/A</v>
      </c>
      <c r="N19" s="47" t="str">
        <f t="shared" si="5"/>
        <v/>
      </c>
      <c r="O19" s="47">
        <f t="shared" si="6"/>
        <v>0</v>
      </c>
      <c r="P19" s="47" t="str">
        <f>IFERROR(__xludf.DUMMYFUNCTION("REGEXREPLACE(
  INDEX(
    {$S$1:$AQ$1,$AW$1:$BF$1},
    MATCH(
      MAX({
        MAP($T19:$AO19,$V19:$AQ19,LAMBDA(a,c,IF(a=$N19,c))),
        MAP($AX19:$BD19,$AZ19:$BF19,LAMBDA(a,c,IF(a=$N19,c)))
      }),
      {
        MAP($T19:$AO19,$V19:$AQ19,LAMB"&amp;"DA(a,c,IF(a=$N19,c))),
        MAP($AX19:$BD19,$AZ19:$BF19,LAMBDA(a,c,IF(a=$N19,c)))
      },
      0
    )
  ),
  ""^\d+_"",
  """"
)"),"#N/A")</f>
        <v>#N/A</v>
      </c>
      <c r="Q19" s="47" t="str">
        <f t="shared" si="7"/>
        <v>#N/A</v>
      </c>
      <c r="R19" s="47" t="str">
        <f t="shared" si="8"/>
        <v>#N/A</v>
      </c>
      <c r="S19" s="47" t="s">
        <v>296</v>
      </c>
      <c r="T19" s="48"/>
      <c r="U19" s="48"/>
      <c r="V19" s="48"/>
      <c r="W19" s="48"/>
      <c r="X19" s="47" t="s">
        <v>297</v>
      </c>
      <c r="Y19" s="48"/>
      <c r="Z19" s="48"/>
      <c r="AA19" s="48"/>
      <c r="AB19" s="48"/>
      <c r="AC19" s="47" t="s">
        <v>298</v>
      </c>
      <c r="AD19" s="48"/>
      <c r="AE19" s="48"/>
      <c r="AF19" s="48"/>
      <c r="AG19" s="48"/>
      <c r="AH19" s="47" t="s">
        <v>299</v>
      </c>
      <c r="AI19" s="48"/>
      <c r="AJ19" s="48"/>
      <c r="AK19" s="48"/>
      <c r="AL19" s="48"/>
      <c r="AM19" s="47" t="s">
        <v>300</v>
      </c>
      <c r="AN19" s="48"/>
      <c r="AO19" s="48"/>
      <c r="AP19" s="48"/>
      <c r="AQ19" s="48"/>
      <c r="AR19" s="47" t="s">
        <v>301</v>
      </c>
      <c r="AS19" s="48"/>
      <c r="AT19" s="48"/>
      <c r="AU19" s="48"/>
      <c r="AV19" s="48"/>
      <c r="AW19" s="47" t="s">
        <v>302</v>
      </c>
      <c r="AX19" s="48"/>
      <c r="AY19" s="48"/>
      <c r="AZ19" s="48"/>
      <c r="BA19" s="48"/>
      <c r="BB19" s="47" t="s">
        <v>303</v>
      </c>
      <c r="BC19" s="48"/>
      <c r="BD19" s="48"/>
      <c r="BE19" s="48"/>
      <c r="BF19" s="48"/>
      <c r="BG19" s="47" t="s">
        <v>304</v>
      </c>
      <c r="BH19" s="48"/>
      <c r="BI19" s="48"/>
      <c r="BJ19" s="48"/>
      <c r="BK19" s="48"/>
      <c r="BL19" s="47" t="s">
        <v>305</v>
      </c>
      <c r="BM19" s="48"/>
      <c r="BN19" s="48"/>
      <c r="BO19" s="48"/>
    </row>
    <row r="20" ht="26.25" customHeight="1">
      <c r="A20" s="44">
        <v>1042.0</v>
      </c>
      <c r="B20" s="45" t="s">
        <v>306</v>
      </c>
      <c r="C20" s="44" t="s">
        <v>96</v>
      </c>
      <c r="D20" s="44" t="s">
        <v>150</v>
      </c>
      <c r="E20" s="44" t="s">
        <v>307</v>
      </c>
      <c r="F20" s="44" t="s">
        <v>308</v>
      </c>
      <c r="G20" s="46">
        <v>35.36398527</v>
      </c>
      <c r="H20" s="46">
        <v>127.3426621</v>
      </c>
      <c r="I20" s="47" t="str">
        <f t="shared" si="1"/>
        <v/>
      </c>
      <c r="J20" s="48">
        <f t="shared" si="2"/>
        <v>0</v>
      </c>
      <c r="K20" s="48" t="str">
        <f>IFERROR(__xludf.DUMMYFUNCTION("REGEXREPLACE(
  INDEX(
    $S$1:$BK$1,
    MATCH(
      MAX(
        MAP($T20:$BI20,$V20:$BK20,LAMBDA(a,c,IF(a=$I20,c)))
      ),
      MAP($T20:$BI20,$V20:$BK20,LAMBDA(a,c,IF(a=$I20,c))),
      0
    )
  ),
  ""^\d+_"",
  """"
)"),"#N/A")</f>
        <v>#N/A</v>
      </c>
      <c r="L20" s="48" t="str">
        <f t="shared" si="3"/>
        <v>#N/A</v>
      </c>
      <c r="M20" s="48" t="str">
        <f t="shared" si="4"/>
        <v>#N/A</v>
      </c>
      <c r="N20" s="47" t="str">
        <f t="shared" si="5"/>
        <v/>
      </c>
      <c r="O20" s="47">
        <f t="shared" si="6"/>
        <v>0</v>
      </c>
      <c r="P20" s="47" t="str">
        <f>IFERROR(__xludf.DUMMYFUNCTION("REGEXREPLACE(
  INDEX(
    {$S$1:$AQ$1,$AW$1:$BF$1},
    MATCH(
      MAX({
        MAP($T20:$AO20,$V20:$AQ20,LAMBDA(a,c,IF(a=$N20,c))),
        MAP($AX20:$BD20,$AZ20:$BF20,LAMBDA(a,c,IF(a=$N20,c)))
      }),
      {
        MAP($T20:$AO20,$V20:$AQ20,LAMB"&amp;"DA(a,c,IF(a=$N20,c))),
        MAP($AX20:$BD20,$AZ20:$BF20,LAMBDA(a,c,IF(a=$N20,c)))
      },
      0
    )
  ),
  ""^\d+_"",
  """"
)"),"#N/A")</f>
        <v>#N/A</v>
      </c>
      <c r="Q20" s="47" t="str">
        <f t="shared" si="7"/>
        <v>#N/A</v>
      </c>
      <c r="R20" s="47" t="str">
        <f t="shared" si="8"/>
        <v>#N/A</v>
      </c>
      <c r="S20" s="47" t="s">
        <v>309</v>
      </c>
      <c r="T20" s="48"/>
      <c r="U20" s="48"/>
      <c r="V20" s="48"/>
      <c r="W20" s="48"/>
      <c r="X20" s="47" t="s">
        <v>310</v>
      </c>
      <c r="Y20" s="48"/>
      <c r="Z20" s="48"/>
      <c r="AA20" s="48"/>
      <c r="AB20" s="48"/>
      <c r="AC20" s="47" t="s">
        <v>311</v>
      </c>
      <c r="AD20" s="48"/>
      <c r="AE20" s="48"/>
      <c r="AF20" s="48"/>
      <c r="AG20" s="48"/>
      <c r="AH20" s="47" t="s">
        <v>312</v>
      </c>
      <c r="AI20" s="48"/>
      <c r="AJ20" s="48"/>
      <c r="AK20" s="48"/>
      <c r="AL20" s="48"/>
      <c r="AM20" s="47" t="s">
        <v>313</v>
      </c>
      <c r="AN20" s="48"/>
      <c r="AO20" s="48"/>
      <c r="AP20" s="48"/>
      <c r="AQ20" s="48"/>
      <c r="AR20" s="47" t="s">
        <v>314</v>
      </c>
      <c r="AS20" s="48"/>
      <c r="AT20" s="48"/>
      <c r="AU20" s="48"/>
      <c r="AV20" s="48"/>
      <c r="AW20" s="47" t="s">
        <v>315</v>
      </c>
      <c r="AX20" s="48"/>
      <c r="AY20" s="48"/>
      <c r="AZ20" s="48"/>
      <c r="BA20" s="48"/>
      <c r="BB20" s="47" t="s">
        <v>316</v>
      </c>
      <c r="BC20" s="48"/>
      <c r="BD20" s="48"/>
      <c r="BE20" s="48"/>
      <c r="BF20" s="48"/>
      <c r="BG20" s="47" t="s">
        <v>317</v>
      </c>
      <c r="BH20" s="48"/>
      <c r="BI20" s="48"/>
      <c r="BJ20" s="48"/>
      <c r="BK20" s="48"/>
      <c r="BL20" s="47" t="s">
        <v>318</v>
      </c>
      <c r="BM20" s="48"/>
      <c r="BN20" s="48"/>
      <c r="BO20" s="48"/>
    </row>
    <row r="21" ht="26.25" customHeight="1">
      <c r="A21" s="44">
        <v>1043.0</v>
      </c>
      <c r="B21" s="45" t="s">
        <v>319</v>
      </c>
      <c r="C21" s="44" t="s">
        <v>96</v>
      </c>
      <c r="D21" s="44" t="s">
        <v>150</v>
      </c>
      <c r="E21" s="44" t="s">
        <v>320</v>
      </c>
      <c r="F21" s="44" t="s">
        <v>321</v>
      </c>
      <c r="G21" s="46">
        <v>35.34829662</v>
      </c>
      <c r="H21" s="46">
        <v>127.3955304</v>
      </c>
      <c r="I21" s="47" t="str">
        <f t="shared" si="1"/>
        <v/>
      </c>
      <c r="J21" s="48">
        <f t="shared" si="2"/>
        <v>0</v>
      </c>
      <c r="K21" s="48" t="str">
        <f>IFERROR(__xludf.DUMMYFUNCTION("REGEXREPLACE(
  INDEX(
    $S$1:$BK$1,
    MATCH(
      MAX(
        MAP($T21:$BI21,$V21:$BK21,LAMBDA(a,c,IF(a=$I21,c)))
      ),
      MAP($T21:$BI21,$V21:$BK21,LAMBDA(a,c,IF(a=$I21,c))),
      0
    )
  ),
  ""^\d+_"",
  """"
)"),"#N/A")</f>
        <v>#N/A</v>
      </c>
      <c r="L21" s="48" t="str">
        <f t="shared" si="3"/>
        <v>#N/A</v>
      </c>
      <c r="M21" s="48" t="str">
        <f t="shared" si="4"/>
        <v>#N/A</v>
      </c>
      <c r="N21" s="47" t="str">
        <f t="shared" si="5"/>
        <v/>
      </c>
      <c r="O21" s="47">
        <f t="shared" si="6"/>
        <v>0</v>
      </c>
      <c r="P21" s="47" t="str">
        <f>IFERROR(__xludf.DUMMYFUNCTION("REGEXREPLACE(
  INDEX(
    {$S$1:$AQ$1,$AW$1:$BF$1},
    MATCH(
      MAX({
        MAP($T21:$AO21,$V21:$AQ21,LAMBDA(a,c,IF(a=$N21,c))),
        MAP($AX21:$BD21,$AZ21:$BF21,LAMBDA(a,c,IF(a=$N21,c)))
      }),
      {
        MAP($T21:$AO21,$V21:$AQ21,LAMB"&amp;"DA(a,c,IF(a=$N21,c))),
        MAP($AX21:$BD21,$AZ21:$BF21,LAMBDA(a,c,IF(a=$N21,c)))
      },
      0
    )
  ),
  ""^\d+_"",
  """"
)"),"#N/A")</f>
        <v>#N/A</v>
      </c>
      <c r="Q21" s="47" t="str">
        <f t="shared" si="7"/>
        <v>#N/A</v>
      </c>
      <c r="R21" s="47" t="str">
        <f t="shared" si="8"/>
        <v>#N/A</v>
      </c>
      <c r="S21" s="47" t="s">
        <v>322</v>
      </c>
      <c r="T21" s="48"/>
      <c r="U21" s="48"/>
      <c r="V21" s="48"/>
      <c r="W21" s="48"/>
      <c r="X21" s="47" t="s">
        <v>323</v>
      </c>
      <c r="Y21" s="48"/>
      <c r="Z21" s="48"/>
      <c r="AA21" s="48"/>
      <c r="AB21" s="48"/>
      <c r="AC21" s="47" t="s">
        <v>324</v>
      </c>
      <c r="AD21" s="48"/>
      <c r="AE21" s="48"/>
      <c r="AF21" s="48"/>
      <c r="AG21" s="48"/>
      <c r="AH21" s="47" t="s">
        <v>325</v>
      </c>
      <c r="AI21" s="48"/>
      <c r="AJ21" s="48"/>
      <c r="AK21" s="48"/>
      <c r="AL21" s="48"/>
      <c r="AM21" s="47" t="s">
        <v>326</v>
      </c>
      <c r="AN21" s="48"/>
      <c r="AO21" s="48"/>
      <c r="AP21" s="48"/>
      <c r="AQ21" s="48"/>
      <c r="AR21" s="47" t="s">
        <v>327</v>
      </c>
      <c r="AS21" s="48"/>
      <c r="AT21" s="48"/>
      <c r="AU21" s="48"/>
      <c r="AV21" s="48"/>
      <c r="AW21" s="47" t="s">
        <v>328</v>
      </c>
      <c r="AX21" s="48"/>
      <c r="AY21" s="48"/>
      <c r="AZ21" s="48"/>
      <c r="BA21" s="48"/>
      <c r="BB21" s="47" t="s">
        <v>329</v>
      </c>
      <c r="BC21" s="48"/>
      <c r="BD21" s="48"/>
      <c r="BE21" s="48"/>
      <c r="BF21" s="48"/>
      <c r="BG21" s="47" t="s">
        <v>330</v>
      </c>
      <c r="BH21" s="48"/>
      <c r="BI21" s="48"/>
      <c r="BJ21" s="48"/>
      <c r="BK21" s="48"/>
      <c r="BL21" s="47" t="s">
        <v>331</v>
      </c>
      <c r="BM21" s="48"/>
      <c r="BN21" s="48"/>
      <c r="BO21" s="48"/>
    </row>
    <row r="22" ht="26.25" customHeight="1">
      <c r="A22" s="44">
        <v>1044.0</v>
      </c>
      <c r="B22" s="45" t="s">
        <v>332</v>
      </c>
      <c r="C22" s="44" t="s">
        <v>96</v>
      </c>
      <c r="D22" s="44" t="s">
        <v>150</v>
      </c>
      <c r="E22" s="44" t="s">
        <v>333</v>
      </c>
      <c r="F22" s="44" t="s">
        <v>334</v>
      </c>
      <c r="G22" s="46">
        <v>35.32947592</v>
      </c>
      <c r="H22" s="46">
        <v>127.3639369</v>
      </c>
      <c r="I22" s="47" t="str">
        <f t="shared" si="1"/>
        <v/>
      </c>
      <c r="J22" s="48">
        <f t="shared" si="2"/>
        <v>0</v>
      </c>
      <c r="K22" s="48" t="str">
        <f>IFERROR(__xludf.DUMMYFUNCTION("REGEXREPLACE(
  INDEX(
    $S$1:$BK$1,
    MATCH(
      MAX(
        MAP($T22:$BI22,$V22:$BK22,LAMBDA(a,c,IF(a=$I22,c)))
      ),
      MAP($T22:$BI22,$V22:$BK22,LAMBDA(a,c,IF(a=$I22,c))),
      0
    )
  ),
  ""^\d+_"",
  """"
)"),"#N/A")</f>
        <v>#N/A</v>
      </c>
      <c r="L22" s="48" t="str">
        <f t="shared" si="3"/>
        <v>#N/A</v>
      </c>
      <c r="M22" s="48" t="str">
        <f t="shared" si="4"/>
        <v>#N/A</v>
      </c>
      <c r="N22" s="47" t="str">
        <f t="shared" si="5"/>
        <v/>
      </c>
      <c r="O22" s="47">
        <f t="shared" si="6"/>
        <v>0</v>
      </c>
      <c r="P22" s="47" t="str">
        <f>IFERROR(__xludf.DUMMYFUNCTION("REGEXREPLACE(
  INDEX(
    {$S$1:$AQ$1,$AW$1:$BF$1},
    MATCH(
      MAX({
        MAP($T22:$AO22,$V22:$AQ22,LAMBDA(a,c,IF(a=$N22,c))),
        MAP($AX22:$BD22,$AZ22:$BF22,LAMBDA(a,c,IF(a=$N22,c)))
      }),
      {
        MAP($T22:$AO22,$V22:$AQ22,LAMB"&amp;"DA(a,c,IF(a=$N22,c))),
        MAP($AX22:$BD22,$AZ22:$BF22,LAMBDA(a,c,IF(a=$N22,c)))
      },
      0
    )
  ),
  ""^\d+_"",
  """"
)"),"#N/A")</f>
        <v>#N/A</v>
      </c>
      <c r="Q22" s="47" t="str">
        <f t="shared" si="7"/>
        <v>#N/A</v>
      </c>
      <c r="R22" s="47" t="str">
        <f t="shared" si="8"/>
        <v>#N/A</v>
      </c>
      <c r="S22" s="47" t="s">
        <v>335</v>
      </c>
      <c r="T22" s="48"/>
      <c r="U22" s="48"/>
      <c r="V22" s="48"/>
      <c r="W22" s="48"/>
      <c r="X22" s="47" t="s">
        <v>336</v>
      </c>
      <c r="Y22" s="48"/>
      <c r="Z22" s="48"/>
      <c r="AA22" s="48"/>
      <c r="AB22" s="48"/>
      <c r="AC22" s="47" t="s">
        <v>337</v>
      </c>
      <c r="AD22" s="48"/>
      <c r="AE22" s="48"/>
      <c r="AF22" s="48"/>
      <c r="AG22" s="48"/>
      <c r="AH22" s="47" t="s">
        <v>338</v>
      </c>
      <c r="AI22" s="48"/>
      <c r="AJ22" s="48"/>
      <c r="AK22" s="48"/>
      <c r="AL22" s="48"/>
      <c r="AM22" s="47" t="s">
        <v>339</v>
      </c>
      <c r="AN22" s="48"/>
      <c r="AO22" s="48"/>
      <c r="AP22" s="48"/>
      <c r="AQ22" s="48"/>
      <c r="AR22" s="47" t="s">
        <v>340</v>
      </c>
      <c r="AS22" s="48"/>
      <c r="AT22" s="48"/>
      <c r="AU22" s="48"/>
      <c r="AV22" s="48"/>
      <c r="AW22" s="47" t="s">
        <v>341</v>
      </c>
      <c r="AX22" s="48"/>
      <c r="AY22" s="48"/>
      <c r="AZ22" s="48"/>
      <c r="BA22" s="48"/>
      <c r="BB22" s="47" t="s">
        <v>342</v>
      </c>
      <c r="BC22" s="48"/>
      <c r="BD22" s="48"/>
      <c r="BE22" s="48"/>
      <c r="BF22" s="48"/>
      <c r="BG22" s="47" t="s">
        <v>343</v>
      </c>
      <c r="BH22" s="48"/>
      <c r="BI22" s="48"/>
      <c r="BJ22" s="48"/>
      <c r="BK22" s="48"/>
      <c r="BL22" s="47" t="s">
        <v>344</v>
      </c>
      <c r="BM22" s="48"/>
      <c r="BN22" s="48"/>
      <c r="BO22" s="48"/>
    </row>
    <row r="23" ht="26.25" customHeight="1">
      <c r="A23" s="44">
        <v>1045.0</v>
      </c>
      <c r="B23" s="45" t="s">
        <v>345</v>
      </c>
      <c r="C23" s="44" t="s">
        <v>96</v>
      </c>
      <c r="D23" s="44" t="s">
        <v>150</v>
      </c>
      <c r="E23" s="44" t="s">
        <v>346</v>
      </c>
      <c r="F23" s="44" t="s">
        <v>347</v>
      </c>
      <c r="G23" s="46">
        <v>35.52987633</v>
      </c>
      <c r="H23" s="46">
        <v>127.5900654</v>
      </c>
      <c r="I23" s="47" t="str">
        <f t="shared" si="1"/>
        <v/>
      </c>
      <c r="J23" s="48">
        <f t="shared" si="2"/>
        <v>0</v>
      </c>
      <c r="K23" s="48" t="str">
        <f>IFERROR(__xludf.DUMMYFUNCTION("REGEXREPLACE(
  INDEX(
    $S$1:$BK$1,
    MATCH(
      MAX(
        MAP($T23:$BI23,$V23:$BK23,LAMBDA(a,c,IF(a=$I23,c)))
      ),
      MAP($T23:$BI23,$V23:$BK23,LAMBDA(a,c,IF(a=$I23,c))),
      0
    )
  ),
  ""^\d+_"",
  """"
)"),"#N/A")</f>
        <v>#N/A</v>
      </c>
      <c r="L23" s="48" t="str">
        <f t="shared" si="3"/>
        <v>#N/A</v>
      </c>
      <c r="M23" s="48" t="str">
        <f t="shared" si="4"/>
        <v>#N/A</v>
      </c>
      <c r="N23" s="47" t="str">
        <f t="shared" si="5"/>
        <v/>
      </c>
      <c r="O23" s="47">
        <f t="shared" si="6"/>
        <v>0</v>
      </c>
      <c r="P23" s="47" t="str">
        <f>IFERROR(__xludf.DUMMYFUNCTION("REGEXREPLACE(
  INDEX(
    {$S$1:$AQ$1,$AW$1:$BF$1},
    MATCH(
      MAX({
        MAP($T23:$AO23,$V23:$AQ23,LAMBDA(a,c,IF(a=$N23,c))),
        MAP($AX23:$BD23,$AZ23:$BF23,LAMBDA(a,c,IF(a=$N23,c)))
      }),
      {
        MAP($T23:$AO23,$V23:$AQ23,LAMB"&amp;"DA(a,c,IF(a=$N23,c))),
        MAP($AX23:$BD23,$AZ23:$BF23,LAMBDA(a,c,IF(a=$N23,c)))
      },
      0
    )
  ),
  ""^\d+_"",
  """"
)"),"#N/A")</f>
        <v>#N/A</v>
      </c>
      <c r="Q23" s="47" t="str">
        <f t="shared" si="7"/>
        <v>#N/A</v>
      </c>
      <c r="R23" s="47" t="str">
        <f t="shared" si="8"/>
        <v>#N/A</v>
      </c>
      <c r="S23" s="47" t="s">
        <v>348</v>
      </c>
      <c r="T23" s="48"/>
      <c r="U23" s="48"/>
      <c r="V23" s="48"/>
      <c r="W23" s="48"/>
      <c r="X23" s="47" t="s">
        <v>349</v>
      </c>
      <c r="Y23" s="48"/>
      <c r="Z23" s="48"/>
      <c r="AA23" s="48"/>
      <c r="AB23" s="48"/>
      <c r="AC23" s="47" t="s">
        <v>350</v>
      </c>
      <c r="AD23" s="48"/>
      <c r="AE23" s="48"/>
      <c r="AF23" s="48"/>
      <c r="AG23" s="48"/>
      <c r="AH23" s="47" t="s">
        <v>351</v>
      </c>
      <c r="AI23" s="48"/>
      <c r="AJ23" s="48"/>
      <c r="AK23" s="48"/>
      <c r="AL23" s="48"/>
      <c r="AM23" s="47" t="s">
        <v>352</v>
      </c>
      <c r="AN23" s="48"/>
      <c r="AO23" s="48"/>
      <c r="AP23" s="48"/>
      <c r="AQ23" s="48"/>
      <c r="AR23" s="47" t="s">
        <v>353</v>
      </c>
      <c r="AS23" s="48"/>
      <c r="AT23" s="48"/>
      <c r="AU23" s="48"/>
      <c r="AV23" s="48"/>
      <c r="AW23" s="47" t="s">
        <v>354</v>
      </c>
      <c r="AX23" s="48"/>
      <c r="AY23" s="48"/>
      <c r="AZ23" s="48"/>
      <c r="BA23" s="48"/>
      <c r="BB23" s="47" t="s">
        <v>355</v>
      </c>
      <c r="BC23" s="48"/>
      <c r="BD23" s="48"/>
      <c r="BE23" s="48"/>
      <c r="BF23" s="48"/>
      <c r="BG23" s="47" t="s">
        <v>356</v>
      </c>
      <c r="BH23" s="48"/>
      <c r="BI23" s="48"/>
      <c r="BJ23" s="48"/>
      <c r="BK23" s="48"/>
      <c r="BL23" s="47" t="s">
        <v>357</v>
      </c>
      <c r="BM23" s="48"/>
      <c r="BN23" s="48"/>
      <c r="BO23" s="48"/>
    </row>
    <row r="24" ht="26.25" customHeight="1">
      <c r="A24" s="44">
        <v>1046.0</v>
      </c>
      <c r="B24" s="45" t="s">
        <v>358</v>
      </c>
      <c r="C24" s="44" t="s">
        <v>96</v>
      </c>
      <c r="D24" s="44" t="s">
        <v>150</v>
      </c>
      <c r="E24" s="44" t="s">
        <v>359</v>
      </c>
      <c r="F24" s="44" t="s">
        <v>360</v>
      </c>
      <c r="G24" s="46">
        <v>35.48123036</v>
      </c>
      <c r="H24" s="46">
        <v>127.5723378</v>
      </c>
      <c r="I24" s="47" t="str">
        <f t="shared" si="1"/>
        <v/>
      </c>
      <c r="J24" s="48">
        <f t="shared" si="2"/>
        <v>0</v>
      </c>
      <c r="K24" s="48" t="str">
        <f>IFERROR(__xludf.DUMMYFUNCTION("REGEXREPLACE(
  INDEX(
    $S$1:$BK$1,
    MATCH(
      MAX(
        MAP($T24:$BI24,$V24:$BK24,LAMBDA(a,c,IF(a=$I24,c)))
      ),
      MAP($T24:$BI24,$V24:$BK24,LAMBDA(a,c,IF(a=$I24,c))),
      0
    )
  ),
  ""^\d+_"",
  """"
)"),"#N/A")</f>
        <v>#N/A</v>
      </c>
      <c r="L24" s="48" t="str">
        <f t="shared" si="3"/>
        <v>#N/A</v>
      </c>
      <c r="M24" s="48" t="str">
        <f t="shared" si="4"/>
        <v>#N/A</v>
      </c>
      <c r="N24" s="47" t="str">
        <f t="shared" si="5"/>
        <v/>
      </c>
      <c r="O24" s="47">
        <f t="shared" si="6"/>
        <v>0</v>
      </c>
      <c r="P24" s="47" t="str">
        <f>IFERROR(__xludf.DUMMYFUNCTION("REGEXREPLACE(
  INDEX(
    {$S$1:$AQ$1,$AW$1:$BF$1},
    MATCH(
      MAX({
        MAP($T24:$AO24,$V24:$AQ24,LAMBDA(a,c,IF(a=$N24,c))),
        MAP($AX24:$BD24,$AZ24:$BF24,LAMBDA(a,c,IF(a=$N24,c)))
      }),
      {
        MAP($T24:$AO24,$V24:$AQ24,LAMB"&amp;"DA(a,c,IF(a=$N24,c))),
        MAP($AX24:$BD24,$AZ24:$BF24,LAMBDA(a,c,IF(a=$N24,c)))
      },
      0
    )
  ),
  ""^\d+_"",
  """"
)"),"#N/A")</f>
        <v>#N/A</v>
      </c>
      <c r="Q24" s="47" t="str">
        <f t="shared" si="7"/>
        <v>#N/A</v>
      </c>
      <c r="R24" s="47" t="str">
        <f t="shared" si="8"/>
        <v>#N/A</v>
      </c>
      <c r="S24" s="47" t="s">
        <v>361</v>
      </c>
      <c r="T24" s="48"/>
      <c r="U24" s="48"/>
      <c r="V24" s="48"/>
      <c r="W24" s="48"/>
      <c r="X24" s="47" t="s">
        <v>362</v>
      </c>
      <c r="Y24" s="48"/>
      <c r="Z24" s="48"/>
      <c r="AA24" s="48"/>
      <c r="AB24" s="48"/>
      <c r="AC24" s="47" t="s">
        <v>363</v>
      </c>
      <c r="AD24" s="48"/>
      <c r="AE24" s="48"/>
      <c r="AF24" s="48"/>
      <c r="AG24" s="48"/>
      <c r="AH24" s="47" t="s">
        <v>364</v>
      </c>
      <c r="AI24" s="48"/>
      <c r="AJ24" s="48"/>
      <c r="AK24" s="48"/>
      <c r="AL24" s="48"/>
      <c r="AM24" s="47" t="s">
        <v>365</v>
      </c>
      <c r="AN24" s="48"/>
      <c r="AO24" s="48"/>
      <c r="AP24" s="48"/>
      <c r="AQ24" s="48"/>
      <c r="AR24" s="47" t="s">
        <v>366</v>
      </c>
      <c r="AS24" s="48"/>
      <c r="AT24" s="48"/>
      <c r="AU24" s="48"/>
      <c r="AV24" s="48"/>
      <c r="AW24" s="47" t="s">
        <v>367</v>
      </c>
      <c r="AX24" s="48"/>
      <c r="AY24" s="48"/>
      <c r="AZ24" s="48"/>
      <c r="BA24" s="48"/>
      <c r="BB24" s="47" t="s">
        <v>368</v>
      </c>
      <c r="BC24" s="48"/>
      <c r="BD24" s="48"/>
      <c r="BE24" s="48"/>
      <c r="BF24" s="48"/>
      <c r="BG24" s="47" t="s">
        <v>369</v>
      </c>
      <c r="BH24" s="48"/>
      <c r="BI24" s="48"/>
      <c r="BJ24" s="48"/>
      <c r="BK24" s="48"/>
      <c r="BL24" s="47" t="s">
        <v>370</v>
      </c>
      <c r="BM24" s="48"/>
      <c r="BN24" s="48"/>
      <c r="BO24" s="48"/>
    </row>
    <row r="25" ht="26.25" customHeight="1">
      <c r="A25" s="44">
        <v>1047.0</v>
      </c>
      <c r="B25" s="45" t="s">
        <v>371</v>
      </c>
      <c r="C25" s="44" t="s">
        <v>96</v>
      </c>
      <c r="D25" s="44" t="s">
        <v>150</v>
      </c>
      <c r="E25" s="44" t="s">
        <v>372</v>
      </c>
      <c r="F25" s="44" t="s">
        <v>373</v>
      </c>
      <c r="G25" s="46">
        <v>35.43744645</v>
      </c>
      <c r="H25" s="46">
        <v>127.5311791</v>
      </c>
      <c r="I25" s="47" t="str">
        <f t="shared" si="1"/>
        <v/>
      </c>
      <c r="J25" s="48">
        <f t="shared" si="2"/>
        <v>0</v>
      </c>
      <c r="K25" s="48" t="str">
        <f>IFERROR(__xludf.DUMMYFUNCTION("REGEXREPLACE(
  INDEX(
    $S$1:$BK$1,
    MATCH(
      MAX(
        MAP($T25:$BI25,$V25:$BK25,LAMBDA(a,c,IF(a=$I25,c)))
      ),
      MAP($T25:$BI25,$V25:$BK25,LAMBDA(a,c,IF(a=$I25,c))),
      0
    )
  ),
  ""^\d+_"",
  """"
)"),"#N/A")</f>
        <v>#N/A</v>
      </c>
      <c r="L25" s="48" t="str">
        <f t="shared" si="3"/>
        <v>#N/A</v>
      </c>
      <c r="M25" s="48" t="str">
        <f t="shared" si="4"/>
        <v>#N/A</v>
      </c>
      <c r="N25" s="47" t="str">
        <f t="shared" si="5"/>
        <v/>
      </c>
      <c r="O25" s="47">
        <f t="shared" si="6"/>
        <v>0</v>
      </c>
      <c r="P25" s="47" t="str">
        <f>IFERROR(__xludf.DUMMYFUNCTION("REGEXREPLACE(
  INDEX(
    {$S$1:$AQ$1,$AW$1:$BF$1},
    MATCH(
      MAX({
        MAP($T25:$AO25,$V25:$AQ25,LAMBDA(a,c,IF(a=$N25,c))),
        MAP($AX25:$BD25,$AZ25:$BF25,LAMBDA(a,c,IF(a=$N25,c)))
      }),
      {
        MAP($T25:$AO25,$V25:$AQ25,LAMB"&amp;"DA(a,c,IF(a=$N25,c))),
        MAP($AX25:$BD25,$AZ25:$BF25,LAMBDA(a,c,IF(a=$N25,c)))
      },
      0
    )
  ),
  ""^\d+_"",
  """"
)"),"#N/A")</f>
        <v>#N/A</v>
      </c>
      <c r="Q25" s="47" t="str">
        <f t="shared" si="7"/>
        <v>#N/A</v>
      </c>
      <c r="R25" s="47" t="str">
        <f t="shared" si="8"/>
        <v>#N/A</v>
      </c>
      <c r="S25" s="47" t="s">
        <v>374</v>
      </c>
      <c r="T25" s="48"/>
      <c r="U25" s="48"/>
      <c r="V25" s="48"/>
      <c r="W25" s="48"/>
      <c r="X25" s="47" t="s">
        <v>375</v>
      </c>
      <c r="Y25" s="48"/>
      <c r="Z25" s="48"/>
      <c r="AA25" s="48"/>
      <c r="AB25" s="48"/>
      <c r="AC25" s="47" t="s">
        <v>376</v>
      </c>
      <c r="AD25" s="48"/>
      <c r="AE25" s="48"/>
      <c r="AF25" s="48"/>
      <c r="AG25" s="48"/>
      <c r="AH25" s="47" t="s">
        <v>377</v>
      </c>
      <c r="AI25" s="48"/>
      <c r="AJ25" s="48"/>
      <c r="AK25" s="48"/>
      <c r="AL25" s="48"/>
      <c r="AM25" s="47" t="s">
        <v>378</v>
      </c>
      <c r="AN25" s="48"/>
      <c r="AO25" s="48"/>
      <c r="AP25" s="48"/>
      <c r="AQ25" s="48"/>
      <c r="AR25" s="47" t="s">
        <v>379</v>
      </c>
      <c r="AS25" s="48"/>
      <c r="AT25" s="48"/>
      <c r="AU25" s="48"/>
      <c r="AV25" s="48"/>
      <c r="AW25" s="47" t="s">
        <v>380</v>
      </c>
      <c r="AX25" s="48"/>
      <c r="AY25" s="48"/>
      <c r="AZ25" s="48"/>
      <c r="BA25" s="48"/>
      <c r="BB25" s="47" t="s">
        <v>381</v>
      </c>
      <c r="BC25" s="48"/>
      <c r="BD25" s="48"/>
      <c r="BE25" s="48"/>
      <c r="BF25" s="48"/>
      <c r="BG25" s="47" t="s">
        <v>382</v>
      </c>
      <c r="BH25" s="48"/>
      <c r="BI25" s="48"/>
      <c r="BJ25" s="48"/>
      <c r="BK25" s="48"/>
      <c r="BL25" s="47" t="s">
        <v>383</v>
      </c>
      <c r="BM25" s="48"/>
      <c r="BN25" s="48"/>
      <c r="BO25" s="48"/>
    </row>
    <row r="26" ht="26.25" customHeight="1">
      <c r="A26" s="44">
        <v>1048.0</v>
      </c>
      <c r="B26" s="45" t="s">
        <v>384</v>
      </c>
      <c r="C26" s="44" t="s">
        <v>96</v>
      </c>
      <c r="D26" s="44" t="s">
        <v>150</v>
      </c>
      <c r="E26" s="44" t="s">
        <v>385</v>
      </c>
      <c r="F26" s="44" t="s">
        <v>386</v>
      </c>
      <c r="G26" s="46">
        <v>35.424938</v>
      </c>
      <c r="H26" s="46">
        <v>127.443209</v>
      </c>
      <c r="I26" s="47" t="str">
        <f t="shared" si="1"/>
        <v/>
      </c>
      <c r="J26" s="48">
        <f t="shared" si="2"/>
        <v>0</v>
      </c>
      <c r="K26" s="48" t="str">
        <f>IFERROR(__xludf.DUMMYFUNCTION("REGEXREPLACE(
  INDEX(
    $S$1:$BK$1,
    MATCH(
      MAX(
        MAP($T26:$BI26,$V26:$BK26,LAMBDA(a,c,IF(a=$I26,c)))
      ),
      MAP($T26:$BI26,$V26:$BK26,LAMBDA(a,c,IF(a=$I26,c))),
      0
    )
  ),
  ""^\d+_"",
  """"
)"),"#N/A")</f>
        <v>#N/A</v>
      </c>
      <c r="L26" s="48" t="str">
        <f t="shared" si="3"/>
        <v>#N/A</v>
      </c>
      <c r="M26" s="48" t="str">
        <f t="shared" si="4"/>
        <v>#N/A</v>
      </c>
      <c r="N26" s="47" t="str">
        <f t="shared" si="5"/>
        <v/>
      </c>
      <c r="O26" s="47">
        <f t="shared" si="6"/>
        <v>0</v>
      </c>
      <c r="P26" s="47" t="str">
        <f>IFERROR(__xludf.DUMMYFUNCTION("REGEXREPLACE(
  INDEX(
    {$S$1:$AQ$1,$AW$1:$BF$1},
    MATCH(
      MAX({
        MAP($T26:$AO26,$V26:$AQ26,LAMBDA(a,c,IF(a=$N26,c))),
        MAP($AX26:$BD26,$AZ26:$BF26,LAMBDA(a,c,IF(a=$N26,c)))
      }),
      {
        MAP($T26:$AO26,$V26:$AQ26,LAMB"&amp;"DA(a,c,IF(a=$N26,c))),
        MAP($AX26:$BD26,$AZ26:$BF26,LAMBDA(a,c,IF(a=$N26,c)))
      },
      0
    )
  ),
  ""^\d+_"",
  """"
)"),"#N/A")</f>
        <v>#N/A</v>
      </c>
      <c r="Q26" s="47" t="str">
        <f t="shared" si="7"/>
        <v>#N/A</v>
      </c>
      <c r="R26" s="47" t="str">
        <f t="shared" si="8"/>
        <v>#N/A</v>
      </c>
      <c r="S26" s="47" t="s">
        <v>387</v>
      </c>
      <c r="T26" s="48"/>
      <c r="U26" s="48"/>
      <c r="V26" s="48"/>
      <c r="W26" s="48"/>
      <c r="X26" s="47" t="s">
        <v>388</v>
      </c>
      <c r="Y26" s="48"/>
      <c r="Z26" s="48"/>
      <c r="AA26" s="48"/>
      <c r="AB26" s="48"/>
      <c r="AC26" s="47" t="s">
        <v>389</v>
      </c>
      <c r="AD26" s="48"/>
      <c r="AE26" s="48"/>
      <c r="AF26" s="48"/>
      <c r="AG26" s="48"/>
      <c r="AH26" s="47" t="s">
        <v>390</v>
      </c>
      <c r="AI26" s="48"/>
      <c r="AJ26" s="48"/>
      <c r="AK26" s="48"/>
      <c r="AL26" s="48"/>
      <c r="AM26" s="47" t="s">
        <v>391</v>
      </c>
      <c r="AN26" s="48"/>
      <c r="AO26" s="48"/>
      <c r="AP26" s="48"/>
      <c r="AQ26" s="48"/>
      <c r="AR26" s="47" t="s">
        <v>392</v>
      </c>
      <c r="AS26" s="48"/>
      <c r="AT26" s="48"/>
      <c r="AU26" s="48"/>
      <c r="AV26" s="48"/>
      <c r="AW26" s="47" t="s">
        <v>393</v>
      </c>
      <c r="AX26" s="48"/>
      <c r="AY26" s="48"/>
      <c r="AZ26" s="48"/>
      <c r="BA26" s="48"/>
      <c r="BB26" s="47" t="s">
        <v>394</v>
      </c>
      <c r="BC26" s="48"/>
      <c r="BD26" s="48"/>
      <c r="BE26" s="48"/>
      <c r="BF26" s="48"/>
      <c r="BG26" s="47" t="s">
        <v>395</v>
      </c>
      <c r="BH26" s="48"/>
      <c r="BI26" s="48"/>
      <c r="BJ26" s="48"/>
      <c r="BK26" s="48"/>
      <c r="BL26" s="47" t="s">
        <v>396</v>
      </c>
      <c r="BM26" s="48"/>
      <c r="BN26" s="48"/>
      <c r="BO26" s="48"/>
    </row>
    <row r="27" ht="26.25" customHeight="1">
      <c r="A27" s="44">
        <v>1049.0</v>
      </c>
      <c r="B27" s="45" t="s">
        <v>397</v>
      </c>
      <c r="C27" s="44" t="s">
        <v>96</v>
      </c>
      <c r="D27" s="44" t="s">
        <v>150</v>
      </c>
      <c r="E27" s="44" t="s">
        <v>398</v>
      </c>
      <c r="F27" s="44" t="s">
        <v>399</v>
      </c>
      <c r="G27" s="46">
        <v>35.47836056</v>
      </c>
      <c r="H27" s="46">
        <v>127.6114621</v>
      </c>
      <c r="I27" s="47" t="str">
        <f t="shared" si="1"/>
        <v/>
      </c>
      <c r="J27" s="48">
        <f t="shared" si="2"/>
        <v>0</v>
      </c>
      <c r="K27" s="48" t="str">
        <f>IFERROR(__xludf.DUMMYFUNCTION("REGEXREPLACE(
  INDEX(
    $S$1:$BK$1,
    MATCH(
      MAX(
        MAP($T27:$BI27,$V27:$BK27,LAMBDA(a,c,IF(a=$I27,c)))
      ),
      MAP($T27:$BI27,$V27:$BK27,LAMBDA(a,c,IF(a=$I27,c))),
      0
    )
  ),
  ""^\d+_"",
  """"
)"),"#N/A")</f>
        <v>#N/A</v>
      </c>
      <c r="L27" s="48" t="str">
        <f t="shared" si="3"/>
        <v>#N/A</v>
      </c>
      <c r="M27" s="48" t="str">
        <f t="shared" si="4"/>
        <v>#N/A</v>
      </c>
      <c r="N27" s="47" t="str">
        <f t="shared" si="5"/>
        <v/>
      </c>
      <c r="O27" s="47">
        <f t="shared" si="6"/>
        <v>0</v>
      </c>
      <c r="P27" s="47" t="str">
        <f>IFERROR(__xludf.DUMMYFUNCTION("REGEXREPLACE(
  INDEX(
    {$S$1:$AQ$1,$AW$1:$BF$1},
    MATCH(
      MAX({
        MAP($T27:$AO27,$V27:$AQ27,LAMBDA(a,c,IF(a=$N27,c))),
        MAP($AX27:$BD27,$AZ27:$BF27,LAMBDA(a,c,IF(a=$N27,c)))
      }),
      {
        MAP($T27:$AO27,$V27:$AQ27,LAMB"&amp;"DA(a,c,IF(a=$N27,c))),
        MAP($AX27:$BD27,$AZ27:$BF27,LAMBDA(a,c,IF(a=$N27,c)))
      },
      0
    )
  ),
  ""^\d+_"",
  """"
)"),"#N/A")</f>
        <v>#N/A</v>
      </c>
      <c r="Q27" s="47" t="str">
        <f t="shared" si="7"/>
        <v>#N/A</v>
      </c>
      <c r="R27" s="47" t="str">
        <f t="shared" si="8"/>
        <v>#N/A</v>
      </c>
      <c r="S27" s="47" t="s">
        <v>400</v>
      </c>
      <c r="T27" s="48"/>
      <c r="U27" s="48"/>
      <c r="V27" s="48"/>
      <c r="W27" s="48"/>
      <c r="X27" s="47" t="s">
        <v>401</v>
      </c>
      <c r="Y27" s="48"/>
      <c r="Z27" s="48"/>
      <c r="AA27" s="48"/>
      <c r="AB27" s="48"/>
      <c r="AC27" s="47" t="s">
        <v>402</v>
      </c>
      <c r="AD27" s="48"/>
      <c r="AE27" s="48"/>
      <c r="AF27" s="48"/>
      <c r="AG27" s="48"/>
      <c r="AH27" s="47" t="s">
        <v>403</v>
      </c>
      <c r="AI27" s="48"/>
      <c r="AJ27" s="48"/>
      <c r="AK27" s="48"/>
      <c r="AL27" s="48"/>
      <c r="AM27" s="47" t="s">
        <v>404</v>
      </c>
      <c r="AN27" s="48"/>
      <c r="AO27" s="48"/>
      <c r="AP27" s="48"/>
      <c r="AQ27" s="48"/>
      <c r="AR27" s="47" t="s">
        <v>405</v>
      </c>
      <c r="AS27" s="48"/>
      <c r="AT27" s="48"/>
      <c r="AU27" s="48"/>
      <c r="AV27" s="48"/>
      <c r="AW27" s="47" t="s">
        <v>406</v>
      </c>
      <c r="AX27" s="48"/>
      <c r="AY27" s="48"/>
      <c r="AZ27" s="48"/>
      <c r="BA27" s="48"/>
      <c r="BB27" s="47" t="s">
        <v>407</v>
      </c>
      <c r="BC27" s="48"/>
      <c r="BD27" s="48"/>
      <c r="BE27" s="48"/>
      <c r="BF27" s="48"/>
      <c r="BG27" s="47" t="s">
        <v>408</v>
      </c>
      <c r="BH27" s="48"/>
      <c r="BI27" s="48"/>
      <c r="BJ27" s="48"/>
      <c r="BK27" s="48"/>
      <c r="BL27" s="47" t="s">
        <v>409</v>
      </c>
      <c r="BM27" s="48"/>
      <c r="BN27" s="48"/>
      <c r="BO27" s="48"/>
    </row>
    <row r="28" ht="26.25" customHeight="1">
      <c r="A28" s="44">
        <v>1050.0</v>
      </c>
      <c r="B28" s="45" t="s">
        <v>410</v>
      </c>
      <c r="C28" s="44" t="s">
        <v>96</v>
      </c>
      <c r="D28" s="44" t="s">
        <v>150</v>
      </c>
      <c r="E28" s="44" t="s">
        <v>411</v>
      </c>
      <c r="F28" s="44" t="s">
        <v>412</v>
      </c>
      <c r="G28" s="46">
        <v>35.40246698</v>
      </c>
      <c r="H28" s="46">
        <v>127.5016759</v>
      </c>
      <c r="I28" s="47" t="str">
        <f t="shared" si="1"/>
        <v/>
      </c>
      <c r="J28" s="48">
        <f t="shared" si="2"/>
        <v>0</v>
      </c>
      <c r="K28" s="48" t="str">
        <f>IFERROR(__xludf.DUMMYFUNCTION("REGEXREPLACE(
  INDEX(
    $S$1:$BK$1,
    MATCH(
      MAX(
        MAP($T28:$BI28,$V28:$BK28,LAMBDA(a,c,IF(a=$I28,c)))
      ),
      MAP($T28:$BI28,$V28:$BK28,LAMBDA(a,c,IF(a=$I28,c))),
      0
    )
  ),
  ""^\d+_"",
  """"
)"),"#N/A")</f>
        <v>#N/A</v>
      </c>
      <c r="L28" s="48" t="str">
        <f t="shared" si="3"/>
        <v>#N/A</v>
      </c>
      <c r="M28" s="48" t="str">
        <f t="shared" si="4"/>
        <v>#N/A</v>
      </c>
      <c r="N28" s="47" t="str">
        <f t="shared" si="5"/>
        <v/>
      </c>
      <c r="O28" s="47">
        <f t="shared" si="6"/>
        <v>0</v>
      </c>
      <c r="P28" s="47" t="str">
        <f>IFERROR(__xludf.DUMMYFUNCTION("REGEXREPLACE(
  INDEX(
    {$S$1:$AQ$1,$AW$1:$BF$1},
    MATCH(
      MAX({
        MAP($T28:$AO28,$V28:$AQ28,LAMBDA(a,c,IF(a=$N28,c))),
        MAP($AX28:$BD28,$AZ28:$BF28,LAMBDA(a,c,IF(a=$N28,c)))
      }),
      {
        MAP($T28:$AO28,$V28:$AQ28,LAMB"&amp;"DA(a,c,IF(a=$N28,c))),
        MAP($AX28:$BD28,$AZ28:$BF28,LAMBDA(a,c,IF(a=$N28,c)))
      },
      0
    )
  ),
  ""^\d+_"",
  """"
)"),"#N/A")</f>
        <v>#N/A</v>
      </c>
      <c r="Q28" s="47" t="str">
        <f t="shared" si="7"/>
        <v>#N/A</v>
      </c>
      <c r="R28" s="47" t="str">
        <f t="shared" si="8"/>
        <v>#N/A</v>
      </c>
      <c r="S28" s="47" t="s">
        <v>413</v>
      </c>
      <c r="T28" s="48"/>
      <c r="U28" s="48"/>
      <c r="V28" s="48"/>
      <c r="W28" s="48"/>
      <c r="X28" s="47" t="s">
        <v>414</v>
      </c>
      <c r="Y28" s="48"/>
      <c r="Z28" s="48"/>
      <c r="AA28" s="48"/>
      <c r="AB28" s="48"/>
      <c r="AC28" s="47" t="s">
        <v>415</v>
      </c>
      <c r="AD28" s="48"/>
      <c r="AE28" s="48"/>
      <c r="AF28" s="48"/>
      <c r="AG28" s="48"/>
      <c r="AH28" s="47" t="s">
        <v>416</v>
      </c>
      <c r="AI28" s="48"/>
      <c r="AJ28" s="48"/>
      <c r="AK28" s="48"/>
      <c r="AL28" s="48"/>
      <c r="AM28" s="47" t="s">
        <v>417</v>
      </c>
      <c r="AN28" s="48"/>
      <c r="AO28" s="48"/>
      <c r="AP28" s="48"/>
      <c r="AQ28" s="48"/>
      <c r="AR28" s="47" t="s">
        <v>418</v>
      </c>
      <c r="AS28" s="48"/>
      <c r="AT28" s="48"/>
      <c r="AU28" s="48"/>
      <c r="AV28" s="48"/>
      <c r="AW28" s="47" t="s">
        <v>419</v>
      </c>
      <c r="AX28" s="48"/>
      <c r="AY28" s="48"/>
      <c r="AZ28" s="48"/>
      <c r="BA28" s="48"/>
      <c r="BB28" s="47" t="s">
        <v>420</v>
      </c>
      <c r="BC28" s="48"/>
      <c r="BD28" s="48"/>
      <c r="BE28" s="48"/>
      <c r="BF28" s="48"/>
      <c r="BG28" s="47" t="s">
        <v>421</v>
      </c>
      <c r="BH28" s="48"/>
      <c r="BI28" s="48"/>
      <c r="BJ28" s="48"/>
      <c r="BK28" s="48"/>
      <c r="BL28" s="47" t="s">
        <v>422</v>
      </c>
      <c r="BM28" s="48"/>
      <c r="BN28" s="48"/>
      <c r="BO28" s="48"/>
    </row>
    <row r="29" ht="26.25" customHeight="1">
      <c r="A29" s="44">
        <v>1051.0</v>
      </c>
      <c r="B29" s="45" t="s">
        <v>423</v>
      </c>
      <c r="C29" s="44" t="s">
        <v>96</v>
      </c>
      <c r="D29" s="44" t="s">
        <v>150</v>
      </c>
      <c r="E29" s="44" t="s">
        <v>424</v>
      </c>
      <c r="F29" s="44" t="s">
        <v>425</v>
      </c>
      <c r="G29" s="46">
        <v>35.38845557</v>
      </c>
      <c r="H29" s="46">
        <v>127.4454244</v>
      </c>
      <c r="I29" s="47" t="str">
        <f t="shared" si="1"/>
        <v/>
      </c>
      <c r="J29" s="48">
        <f t="shared" si="2"/>
        <v>0</v>
      </c>
      <c r="K29" s="48" t="str">
        <f>IFERROR(__xludf.DUMMYFUNCTION("REGEXREPLACE(
  INDEX(
    $S$1:$BK$1,
    MATCH(
      MAX(
        MAP($T29:$BI29,$V29:$BK29,LAMBDA(a,c,IF(a=$I29,c)))
      ),
      MAP($T29:$BI29,$V29:$BK29,LAMBDA(a,c,IF(a=$I29,c))),
      0
    )
  ),
  ""^\d+_"",
  """"
)"),"#N/A")</f>
        <v>#N/A</v>
      </c>
      <c r="L29" s="48" t="str">
        <f t="shared" si="3"/>
        <v>#N/A</v>
      </c>
      <c r="M29" s="48" t="str">
        <f t="shared" si="4"/>
        <v>#N/A</v>
      </c>
      <c r="N29" s="47" t="str">
        <f t="shared" si="5"/>
        <v/>
      </c>
      <c r="O29" s="47">
        <f t="shared" si="6"/>
        <v>0</v>
      </c>
      <c r="P29" s="47" t="str">
        <f>IFERROR(__xludf.DUMMYFUNCTION("REGEXREPLACE(
  INDEX(
    {$S$1:$AQ$1,$AW$1:$BF$1},
    MATCH(
      MAX({
        MAP($T29:$AO29,$V29:$AQ29,LAMBDA(a,c,IF(a=$N29,c))),
        MAP($AX29:$BD29,$AZ29:$BF29,LAMBDA(a,c,IF(a=$N29,c)))
      }),
      {
        MAP($T29:$AO29,$V29:$AQ29,LAMB"&amp;"DA(a,c,IF(a=$N29,c))),
        MAP($AX29:$BD29,$AZ29:$BF29,LAMBDA(a,c,IF(a=$N29,c)))
      },
      0
    )
  ),
  ""^\d+_"",
  """"
)"),"#N/A")</f>
        <v>#N/A</v>
      </c>
      <c r="Q29" s="47" t="str">
        <f t="shared" si="7"/>
        <v>#N/A</v>
      </c>
      <c r="R29" s="47" t="str">
        <f t="shared" si="8"/>
        <v>#N/A</v>
      </c>
      <c r="S29" s="47" t="s">
        <v>426</v>
      </c>
      <c r="T29" s="48"/>
      <c r="U29" s="48"/>
      <c r="V29" s="48"/>
      <c r="W29" s="48"/>
      <c r="X29" s="47" t="s">
        <v>427</v>
      </c>
      <c r="Y29" s="48"/>
      <c r="Z29" s="48"/>
      <c r="AA29" s="48"/>
      <c r="AB29" s="48"/>
      <c r="AC29" s="47" t="s">
        <v>428</v>
      </c>
      <c r="AD29" s="48"/>
      <c r="AE29" s="48"/>
      <c r="AF29" s="48"/>
      <c r="AG29" s="48"/>
      <c r="AH29" s="47" t="s">
        <v>429</v>
      </c>
      <c r="AI29" s="48"/>
      <c r="AJ29" s="48"/>
      <c r="AK29" s="48"/>
      <c r="AL29" s="48"/>
      <c r="AM29" s="47" t="s">
        <v>430</v>
      </c>
      <c r="AN29" s="48"/>
      <c r="AO29" s="48"/>
      <c r="AP29" s="48"/>
      <c r="AQ29" s="48"/>
      <c r="AR29" s="47" t="s">
        <v>431</v>
      </c>
      <c r="AS29" s="48"/>
      <c r="AT29" s="48"/>
      <c r="AU29" s="48"/>
      <c r="AV29" s="48"/>
      <c r="AW29" s="47" t="s">
        <v>432</v>
      </c>
      <c r="AX29" s="48"/>
      <c r="AY29" s="48"/>
      <c r="AZ29" s="48"/>
      <c r="BA29" s="48"/>
      <c r="BB29" s="47" t="s">
        <v>433</v>
      </c>
      <c r="BC29" s="48"/>
      <c r="BD29" s="48"/>
      <c r="BE29" s="48"/>
      <c r="BF29" s="48"/>
      <c r="BG29" s="47" t="s">
        <v>434</v>
      </c>
      <c r="BH29" s="48"/>
      <c r="BI29" s="48"/>
      <c r="BJ29" s="48"/>
      <c r="BK29" s="48"/>
      <c r="BL29" s="47" t="s">
        <v>435</v>
      </c>
      <c r="BM29" s="48"/>
      <c r="BN29" s="48"/>
      <c r="BO29" s="48"/>
    </row>
    <row r="30" ht="26.25" customHeight="1">
      <c r="A30" s="44">
        <v>1052.0</v>
      </c>
      <c r="B30" s="45" t="s">
        <v>436</v>
      </c>
      <c r="C30" s="44" t="s">
        <v>96</v>
      </c>
      <c r="D30" s="44" t="s">
        <v>437</v>
      </c>
      <c r="E30" s="44" t="s">
        <v>438</v>
      </c>
      <c r="F30" s="44" t="s">
        <v>439</v>
      </c>
      <c r="G30" s="46">
        <v>35.98605843</v>
      </c>
      <c r="H30" s="46">
        <v>127.618486</v>
      </c>
      <c r="I30" s="47" t="str">
        <f t="shared" si="1"/>
        <v/>
      </c>
      <c r="J30" s="48">
        <f t="shared" si="2"/>
        <v>0</v>
      </c>
      <c r="K30" s="48" t="str">
        <f>IFERROR(__xludf.DUMMYFUNCTION("REGEXREPLACE(
  INDEX(
    $S$1:$BK$1,
    MATCH(
      MAX(
        MAP($T30:$BI30,$V30:$BK30,LAMBDA(a,c,IF(a=$I30,c)))
      ),
      MAP($T30:$BI30,$V30:$BK30,LAMBDA(a,c,IF(a=$I30,c))),
      0
    )
  ),
  ""^\d+_"",
  """"
)"),"#N/A")</f>
        <v>#N/A</v>
      </c>
      <c r="L30" s="48" t="str">
        <f t="shared" si="3"/>
        <v>#N/A</v>
      </c>
      <c r="M30" s="48" t="str">
        <f t="shared" si="4"/>
        <v>#N/A</v>
      </c>
      <c r="N30" s="47" t="str">
        <f t="shared" si="5"/>
        <v/>
      </c>
      <c r="O30" s="47">
        <f t="shared" si="6"/>
        <v>0</v>
      </c>
      <c r="P30" s="47" t="str">
        <f>IFERROR(__xludf.DUMMYFUNCTION("REGEXREPLACE(
  INDEX(
    {$S$1:$AQ$1,$AW$1:$BF$1},
    MATCH(
      MAX({
        MAP($T30:$AO30,$V30:$AQ30,LAMBDA(a,c,IF(a=$N30,c))),
        MAP($AX30:$BD30,$AZ30:$BF30,LAMBDA(a,c,IF(a=$N30,c)))
      }),
      {
        MAP($T30:$AO30,$V30:$AQ30,LAMB"&amp;"DA(a,c,IF(a=$N30,c))),
        MAP($AX30:$BD30,$AZ30:$BF30,LAMBDA(a,c,IF(a=$N30,c)))
      },
      0
    )
  ),
  ""^\d+_"",
  """"
)"),"#N/A")</f>
        <v>#N/A</v>
      </c>
      <c r="Q30" s="47" t="str">
        <f t="shared" si="7"/>
        <v>#N/A</v>
      </c>
      <c r="R30" s="47" t="str">
        <f t="shared" si="8"/>
        <v>#N/A</v>
      </c>
      <c r="S30" s="47" t="s">
        <v>440</v>
      </c>
      <c r="T30" s="48"/>
      <c r="U30" s="48"/>
      <c r="V30" s="48"/>
      <c r="W30" s="48"/>
      <c r="X30" s="47" t="s">
        <v>441</v>
      </c>
      <c r="Y30" s="48"/>
      <c r="Z30" s="48"/>
      <c r="AA30" s="48"/>
      <c r="AB30" s="48"/>
      <c r="AC30" s="47" t="s">
        <v>442</v>
      </c>
      <c r="AD30" s="48"/>
      <c r="AE30" s="48"/>
      <c r="AF30" s="48"/>
      <c r="AG30" s="48"/>
      <c r="AH30" s="47" t="s">
        <v>443</v>
      </c>
      <c r="AI30" s="48"/>
      <c r="AJ30" s="48"/>
      <c r="AK30" s="48"/>
      <c r="AL30" s="48"/>
      <c r="AM30" s="47" t="s">
        <v>444</v>
      </c>
      <c r="AN30" s="48"/>
      <c r="AO30" s="48"/>
      <c r="AP30" s="48"/>
      <c r="AQ30" s="48"/>
      <c r="AR30" s="47" t="s">
        <v>445</v>
      </c>
      <c r="AS30" s="48"/>
      <c r="AT30" s="48"/>
      <c r="AU30" s="48"/>
      <c r="AV30" s="48"/>
      <c r="AW30" s="47" t="s">
        <v>446</v>
      </c>
      <c r="AX30" s="48"/>
      <c r="AY30" s="48"/>
      <c r="AZ30" s="48"/>
      <c r="BA30" s="48"/>
      <c r="BB30" s="47" t="s">
        <v>447</v>
      </c>
      <c r="BC30" s="48"/>
      <c r="BD30" s="48"/>
      <c r="BE30" s="48"/>
      <c r="BF30" s="48"/>
      <c r="BG30" s="47" t="s">
        <v>448</v>
      </c>
      <c r="BH30" s="48"/>
      <c r="BI30" s="48"/>
      <c r="BJ30" s="48"/>
      <c r="BK30" s="48"/>
      <c r="BL30" s="47" t="s">
        <v>449</v>
      </c>
      <c r="BM30" s="48"/>
      <c r="BN30" s="48"/>
      <c r="BO30" s="48"/>
    </row>
    <row r="31" ht="26.25" customHeight="1">
      <c r="A31" s="44">
        <v>1053.0</v>
      </c>
      <c r="B31" s="45" t="s">
        <v>450</v>
      </c>
      <c r="C31" s="44" t="s">
        <v>96</v>
      </c>
      <c r="D31" s="44" t="s">
        <v>437</v>
      </c>
      <c r="E31" s="44" t="s">
        <v>451</v>
      </c>
      <c r="F31" s="44" t="s">
        <v>452</v>
      </c>
      <c r="G31" s="46">
        <v>36.010709</v>
      </c>
      <c r="H31" s="46">
        <v>127.664714</v>
      </c>
      <c r="I31" s="47" t="str">
        <f t="shared" si="1"/>
        <v/>
      </c>
      <c r="J31" s="48">
        <f t="shared" si="2"/>
        <v>0</v>
      </c>
      <c r="K31" s="48" t="str">
        <f>IFERROR(__xludf.DUMMYFUNCTION("REGEXREPLACE(
  INDEX(
    $S$1:$BK$1,
    MATCH(
      MAX(
        MAP($T31:$BI31,$V31:$BK31,LAMBDA(a,c,IF(a=$I31,c)))
      ),
      MAP($T31:$BI31,$V31:$BK31,LAMBDA(a,c,IF(a=$I31,c))),
      0
    )
  ),
  ""^\d+_"",
  """"
)"),"#N/A")</f>
        <v>#N/A</v>
      </c>
      <c r="L31" s="48" t="str">
        <f t="shared" si="3"/>
        <v>#N/A</v>
      </c>
      <c r="M31" s="48" t="str">
        <f t="shared" si="4"/>
        <v>#N/A</v>
      </c>
      <c r="N31" s="47" t="str">
        <f t="shared" si="5"/>
        <v/>
      </c>
      <c r="O31" s="47">
        <f t="shared" si="6"/>
        <v>0</v>
      </c>
      <c r="P31" s="47" t="str">
        <f>IFERROR(__xludf.DUMMYFUNCTION("REGEXREPLACE(
  INDEX(
    {$S$1:$AQ$1,$AW$1:$BF$1},
    MATCH(
      MAX({
        MAP($T31:$AO31,$V31:$AQ31,LAMBDA(a,c,IF(a=$N31,c))),
        MAP($AX31:$BD31,$AZ31:$BF31,LAMBDA(a,c,IF(a=$N31,c)))
      }),
      {
        MAP($T31:$AO31,$V31:$AQ31,LAMB"&amp;"DA(a,c,IF(a=$N31,c))),
        MAP($AX31:$BD31,$AZ31:$BF31,LAMBDA(a,c,IF(a=$N31,c)))
      },
      0
    )
  ),
  ""^\d+_"",
  """"
)"),"#N/A")</f>
        <v>#N/A</v>
      </c>
      <c r="Q31" s="47" t="str">
        <f t="shared" si="7"/>
        <v>#N/A</v>
      </c>
      <c r="R31" s="47" t="str">
        <f t="shared" si="8"/>
        <v>#N/A</v>
      </c>
      <c r="S31" s="47" t="s">
        <v>453</v>
      </c>
      <c r="T31" s="48"/>
      <c r="U31" s="48"/>
      <c r="V31" s="48"/>
      <c r="W31" s="48"/>
      <c r="X31" s="47" t="s">
        <v>454</v>
      </c>
      <c r="Y31" s="48"/>
      <c r="Z31" s="48"/>
      <c r="AA31" s="48"/>
      <c r="AB31" s="48"/>
      <c r="AC31" s="47" t="s">
        <v>455</v>
      </c>
      <c r="AD31" s="48"/>
      <c r="AE31" s="48"/>
      <c r="AF31" s="48"/>
      <c r="AG31" s="48"/>
      <c r="AH31" s="47" t="s">
        <v>456</v>
      </c>
      <c r="AI31" s="48"/>
      <c r="AJ31" s="48"/>
      <c r="AK31" s="48"/>
      <c r="AL31" s="48"/>
      <c r="AM31" s="47" t="s">
        <v>457</v>
      </c>
      <c r="AN31" s="48"/>
      <c r="AO31" s="48"/>
      <c r="AP31" s="48"/>
      <c r="AQ31" s="48"/>
      <c r="AR31" s="47" t="s">
        <v>458</v>
      </c>
      <c r="AS31" s="48"/>
      <c r="AT31" s="48"/>
      <c r="AU31" s="48"/>
      <c r="AV31" s="48"/>
      <c r="AW31" s="47" t="s">
        <v>459</v>
      </c>
      <c r="AX31" s="48"/>
      <c r="AY31" s="48"/>
      <c r="AZ31" s="48"/>
      <c r="BA31" s="48"/>
      <c r="BB31" s="47" t="s">
        <v>460</v>
      </c>
      <c r="BC31" s="48"/>
      <c r="BD31" s="48"/>
      <c r="BE31" s="48"/>
      <c r="BF31" s="48"/>
      <c r="BG31" s="47" t="s">
        <v>461</v>
      </c>
      <c r="BH31" s="48"/>
      <c r="BI31" s="48"/>
      <c r="BJ31" s="48"/>
      <c r="BK31" s="48"/>
      <c r="BL31" s="47" t="s">
        <v>462</v>
      </c>
      <c r="BM31" s="48"/>
      <c r="BN31" s="48"/>
      <c r="BO31" s="48"/>
    </row>
    <row r="32" ht="26.25" customHeight="1">
      <c r="A32" s="44">
        <v>1054.0</v>
      </c>
      <c r="B32" s="45" t="s">
        <v>463</v>
      </c>
      <c r="C32" s="44" t="s">
        <v>96</v>
      </c>
      <c r="D32" s="44" t="s">
        <v>437</v>
      </c>
      <c r="E32" s="44" t="s">
        <v>464</v>
      </c>
      <c r="F32" s="44" t="s">
        <v>465</v>
      </c>
      <c r="G32" s="46">
        <v>36.028438</v>
      </c>
      <c r="H32" s="46">
        <v>127.699831</v>
      </c>
      <c r="I32" s="47" t="str">
        <f t="shared" si="1"/>
        <v/>
      </c>
      <c r="J32" s="48">
        <f t="shared" si="2"/>
        <v>0</v>
      </c>
      <c r="K32" s="48" t="str">
        <f>IFERROR(__xludf.DUMMYFUNCTION("REGEXREPLACE(
  INDEX(
    $S$1:$BK$1,
    MATCH(
      MAX(
        MAP($T32:$BI32,$V32:$BK32,LAMBDA(a,c,IF(a=$I32,c)))
      ),
      MAP($T32:$BI32,$V32:$BK32,LAMBDA(a,c,IF(a=$I32,c))),
      0
    )
  ),
  ""^\d+_"",
  """"
)"),"#N/A")</f>
        <v>#N/A</v>
      </c>
      <c r="L32" s="48" t="str">
        <f t="shared" si="3"/>
        <v>#N/A</v>
      </c>
      <c r="M32" s="48" t="str">
        <f t="shared" si="4"/>
        <v>#N/A</v>
      </c>
      <c r="N32" s="47" t="str">
        <f t="shared" si="5"/>
        <v/>
      </c>
      <c r="O32" s="47">
        <f t="shared" si="6"/>
        <v>0</v>
      </c>
      <c r="P32" s="47" t="str">
        <f>IFERROR(__xludf.DUMMYFUNCTION("REGEXREPLACE(
  INDEX(
    {$S$1:$AQ$1,$AW$1:$BF$1},
    MATCH(
      MAX({
        MAP($T32:$AO32,$V32:$AQ32,LAMBDA(a,c,IF(a=$N32,c))),
        MAP($AX32:$BD32,$AZ32:$BF32,LAMBDA(a,c,IF(a=$N32,c)))
      }),
      {
        MAP($T32:$AO32,$V32:$AQ32,LAMB"&amp;"DA(a,c,IF(a=$N32,c))),
        MAP($AX32:$BD32,$AZ32:$BF32,LAMBDA(a,c,IF(a=$N32,c)))
      },
      0
    )
  ),
  ""^\d+_"",
  """"
)"),"#N/A")</f>
        <v>#N/A</v>
      </c>
      <c r="Q32" s="47" t="str">
        <f t="shared" si="7"/>
        <v>#N/A</v>
      </c>
      <c r="R32" s="47" t="str">
        <f t="shared" si="8"/>
        <v>#N/A</v>
      </c>
      <c r="S32" s="47" t="s">
        <v>466</v>
      </c>
      <c r="T32" s="48"/>
      <c r="U32" s="48"/>
      <c r="V32" s="48"/>
      <c r="W32" s="48"/>
      <c r="X32" s="47" t="s">
        <v>467</v>
      </c>
      <c r="Y32" s="48"/>
      <c r="Z32" s="48"/>
      <c r="AA32" s="48"/>
      <c r="AB32" s="48"/>
      <c r="AC32" s="47" t="s">
        <v>468</v>
      </c>
      <c r="AD32" s="48"/>
      <c r="AE32" s="48"/>
      <c r="AF32" s="48"/>
      <c r="AG32" s="48"/>
      <c r="AH32" s="47" t="s">
        <v>469</v>
      </c>
      <c r="AI32" s="48"/>
      <c r="AJ32" s="48"/>
      <c r="AK32" s="48"/>
      <c r="AL32" s="48"/>
      <c r="AM32" s="47" t="s">
        <v>470</v>
      </c>
      <c r="AN32" s="48"/>
      <c r="AO32" s="48"/>
      <c r="AP32" s="48"/>
      <c r="AQ32" s="48"/>
      <c r="AR32" s="47" t="s">
        <v>471</v>
      </c>
      <c r="AS32" s="48"/>
      <c r="AT32" s="48"/>
      <c r="AU32" s="48"/>
      <c r="AV32" s="48"/>
      <c r="AW32" s="47" t="s">
        <v>472</v>
      </c>
      <c r="AX32" s="48"/>
      <c r="AY32" s="48"/>
      <c r="AZ32" s="48"/>
      <c r="BA32" s="48"/>
      <c r="BB32" s="47" t="s">
        <v>473</v>
      </c>
      <c r="BC32" s="48"/>
      <c r="BD32" s="48"/>
      <c r="BE32" s="48"/>
      <c r="BF32" s="48"/>
      <c r="BG32" s="47" t="s">
        <v>474</v>
      </c>
      <c r="BH32" s="48"/>
      <c r="BI32" s="48"/>
      <c r="BJ32" s="48"/>
      <c r="BK32" s="48"/>
      <c r="BL32" s="47" t="s">
        <v>475</v>
      </c>
      <c r="BM32" s="48"/>
      <c r="BN32" s="48"/>
      <c r="BO32" s="48"/>
    </row>
    <row r="33" ht="26.25" customHeight="1">
      <c r="A33" s="44">
        <v>1055.0</v>
      </c>
      <c r="B33" s="45" t="s">
        <v>476</v>
      </c>
      <c r="C33" s="44" t="s">
        <v>96</v>
      </c>
      <c r="D33" s="44" t="s">
        <v>437</v>
      </c>
      <c r="E33" s="44" t="s">
        <v>477</v>
      </c>
      <c r="F33" s="44" t="s">
        <v>478</v>
      </c>
      <c r="G33" s="46">
        <v>35.956322</v>
      </c>
      <c r="H33" s="46">
        <v>127.8854424</v>
      </c>
      <c r="I33" s="47" t="str">
        <f t="shared" si="1"/>
        <v/>
      </c>
      <c r="J33" s="48">
        <f t="shared" si="2"/>
        <v>0</v>
      </c>
      <c r="K33" s="48" t="str">
        <f>IFERROR(__xludf.DUMMYFUNCTION("REGEXREPLACE(
  INDEX(
    $S$1:$BK$1,
    MATCH(
      MAX(
        MAP($T33:$BI33,$V33:$BK33,LAMBDA(a,c,IF(a=$I33,c)))
      ),
      MAP($T33:$BI33,$V33:$BK33,LAMBDA(a,c,IF(a=$I33,c))),
      0
    )
  ),
  ""^\d+_"",
  """"
)"),"#N/A")</f>
        <v>#N/A</v>
      </c>
      <c r="L33" s="48" t="str">
        <f t="shared" si="3"/>
        <v>#N/A</v>
      </c>
      <c r="M33" s="48" t="str">
        <f t="shared" si="4"/>
        <v>#N/A</v>
      </c>
      <c r="N33" s="47" t="str">
        <f t="shared" si="5"/>
        <v/>
      </c>
      <c r="O33" s="47">
        <f t="shared" si="6"/>
        <v>0</v>
      </c>
      <c r="P33" s="47" t="str">
        <f>IFERROR(__xludf.DUMMYFUNCTION("REGEXREPLACE(
  INDEX(
    {$S$1:$AQ$1,$AW$1:$BF$1},
    MATCH(
      MAX({
        MAP($T33:$AO33,$V33:$AQ33,LAMBDA(a,c,IF(a=$N33,c))),
        MAP($AX33:$BD33,$AZ33:$BF33,LAMBDA(a,c,IF(a=$N33,c)))
      }),
      {
        MAP($T33:$AO33,$V33:$AQ33,LAMB"&amp;"DA(a,c,IF(a=$N33,c))),
        MAP($AX33:$BD33,$AZ33:$BF33,LAMBDA(a,c,IF(a=$N33,c)))
      },
      0
    )
  ),
  ""^\d+_"",
  """"
)"),"#N/A")</f>
        <v>#N/A</v>
      </c>
      <c r="Q33" s="47" t="str">
        <f t="shared" si="7"/>
        <v>#N/A</v>
      </c>
      <c r="R33" s="47" t="str">
        <f t="shared" si="8"/>
        <v>#N/A</v>
      </c>
      <c r="S33" s="47" t="s">
        <v>479</v>
      </c>
      <c r="T33" s="48"/>
      <c r="U33" s="48"/>
      <c r="V33" s="48"/>
      <c r="W33" s="48"/>
      <c r="X33" s="47" t="s">
        <v>480</v>
      </c>
      <c r="Y33" s="48"/>
      <c r="Z33" s="48"/>
      <c r="AA33" s="48"/>
      <c r="AB33" s="48"/>
      <c r="AC33" s="47" t="s">
        <v>481</v>
      </c>
      <c r="AD33" s="48"/>
      <c r="AE33" s="48"/>
      <c r="AF33" s="48"/>
      <c r="AG33" s="48"/>
      <c r="AH33" s="47" t="s">
        <v>482</v>
      </c>
      <c r="AI33" s="48"/>
      <c r="AJ33" s="48"/>
      <c r="AK33" s="48"/>
      <c r="AL33" s="48"/>
      <c r="AM33" s="47" t="s">
        <v>483</v>
      </c>
      <c r="AN33" s="48"/>
      <c r="AO33" s="48"/>
      <c r="AP33" s="48"/>
      <c r="AQ33" s="48"/>
      <c r="AR33" s="47" t="s">
        <v>484</v>
      </c>
      <c r="AS33" s="48"/>
      <c r="AT33" s="48"/>
      <c r="AU33" s="48"/>
      <c r="AV33" s="48"/>
      <c r="AW33" s="47" t="s">
        <v>485</v>
      </c>
      <c r="AX33" s="48"/>
      <c r="AY33" s="48"/>
      <c r="AZ33" s="48"/>
      <c r="BA33" s="48"/>
      <c r="BB33" s="47" t="s">
        <v>486</v>
      </c>
      <c r="BC33" s="48"/>
      <c r="BD33" s="48"/>
      <c r="BE33" s="48"/>
      <c r="BF33" s="48"/>
      <c r="BG33" s="47" t="s">
        <v>487</v>
      </c>
      <c r="BH33" s="48"/>
      <c r="BI33" s="48"/>
      <c r="BJ33" s="48"/>
      <c r="BK33" s="48"/>
      <c r="BL33" s="47" t="s">
        <v>488</v>
      </c>
      <c r="BM33" s="48"/>
      <c r="BN33" s="48"/>
      <c r="BO33" s="48"/>
    </row>
    <row r="34" ht="26.25" customHeight="1">
      <c r="A34" s="44">
        <v>1056.0</v>
      </c>
      <c r="B34" s="45" t="s">
        <v>489</v>
      </c>
      <c r="C34" s="44" t="s">
        <v>96</v>
      </c>
      <c r="D34" s="44" t="s">
        <v>437</v>
      </c>
      <c r="E34" s="44" t="s">
        <v>490</v>
      </c>
      <c r="F34" s="44" t="s">
        <v>491</v>
      </c>
      <c r="G34" s="46">
        <v>35.912078</v>
      </c>
      <c r="H34" s="46">
        <v>127.863475</v>
      </c>
      <c r="I34" s="47" t="str">
        <f t="shared" si="1"/>
        <v/>
      </c>
      <c r="J34" s="48">
        <f t="shared" si="2"/>
        <v>0</v>
      </c>
      <c r="K34" s="48" t="str">
        <f>IFERROR(__xludf.DUMMYFUNCTION("REGEXREPLACE(
  INDEX(
    $S$1:$BK$1,
    MATCH(
      MAX(
        MAP($T34:$BI34,$V34:$BK34,LAMBDA(a,c,IF(a=$I34,c)))
      ),
      MAP($T34:$BI34,$V34:$BK34,LAMBDA(a,c,IF(a=$I34,c))),
      0
    )
  ),
  ""^\d+_"",
  """"
)"),"#N/A")</f>
        <v>#N/A</v>
      </c>
      <c r="L34" s="48" t="str">
        <f t="shared" si="3"/>
        <v>#N/A</v>
      </c>
      <c r="M34" s="48" t="str">
        <f t="shared" si="4"/>
        <v>#N/A</v>
      </c>
      <c r="N34" s="47" t="str">
        <f t="shared" si="5"/>
        <v/>
      </c>
      <c r="O34" s="47">
        <f t="shared" si="6"/>
        <v>0</v>
      </c>
      <c r="P34" s="47" t="str">
        <f>IFERROR(__xludf.DUMMYFUNCTION("REGEXREPLACE(
  INDEX(
    {$S$1:$AQ$1,$AW$1:$BF$1},
    MATCH(
      MAX({
        MAP($T34:$AO34,$V34:$AQ34,LAMBDA(a,c,IF(a=$N34,c))),
        MAP($AX34:$BD34,$AZ34:$BF34,LAMBDA(a,c,IF(a=$N34,c)))
      }),
      {
        MAP($T34:$AO34,$V34:$AQ34,LAMB"&amp;"DA(a,c,IF(a=$N34,c))),
        MAP($AX34:$BD34,$AZ34:$BF34,LAMBDA(a,c,IF(a=$N34,c)))
      },
      0
    )
  ),
  ""^\d+_"",
  """"
)"),"#N/A")</f>
        <v>#N/A</v>
      </c>
      <c r="Q34" s="47" t="str">
        <f t="shared" si="7"/>
        <v>#N/A</v>
      </c>
      <c r="R34" s="47" t="str">
        <f t="shared" si="8"/>
        <v>#N/A</v>
      </c>
      <c r="S34" s="47" t="s">
        <v>492</v>
      </c>
      <c r="T34" s="48"/>
      <c r="U34" s="48"/>
      <c r="V34" s="48"/>
      <c r="W34" s="48"/>
      <c r="X34" s="47" t="s">
        <v>493</v>
      </c>
      <c r="Y34" s="48"/>
      <c r="Z34" s="48"/>
      <c r="AA34" s="48"/>
      <c r="AB34" s="48"/>
      <c r="AC34" s="47" t="s">
        <v>494</v>
      </c>
      <c r="AD34" s="48"/>
      <c r="AE34" s="48"/>
      <c r="AF34" s="48"/>
      <c r="AG34" s="48"/>
      <c r="AH34" s="47" t="s">
        <v>495</v>
      </c>
      <c r="AI34" s="48"/>
      <c r="AJ34" s="48"/>
      <c r="AK34" s="48"/>
      <c r="AL34" s="48"/>
      <c r="AM34" s="47" t="s">
        <v>496</v>
      </c>
      <c r="AN34" s="48"/>
      <c r="AO34" s="48"/>
      <c r="AP34" s="48"/>
      <c r="AQ34" s="48"/>
      <c r="AR34" s="47" t="s">
        <v>497</v>
      </c>
      <c r="AS34" s="48"/>
      <c r="AT34" s="48"/>
      <c r="AU34" s="48"/>
      <c r="AV34" s="48"/>
      <c r="AW34" s="47" t="s">
        <v>498</v>
      </c>
      <c r="AX34" s="48"/>
      <c r="AY34" s="48"/>
      <c r="AZ34" s="48"/>
      <c r="BA34" s="48"/>
      <c r="BB34" s="47" t="s">
        <v>499</v>
      </c>
      <c r="BC34" s="48"/>
      <c r="BD34" s="48"/>
      <c r="BE34" s="48"/>
      <c r="BF34" s="48"/>
      <c r="BG34" s="47" t="s">
        <v>500</v>
      </c>
      <c r="BH34" s="48"/>
      <c r="BI34" s="48"/>
      <c r="BJ34" s="48"/>
      <c r="BK34" s="48"/>
      <c r="BL34" s="47" t="s">
        <v>501</v>
      </c>
      <c r="BM34" s="48"/>
      <c r="BN34" s="48"/>
      <c r="BO34" s="48"/>
    </row>
    <row r="35" ht="26.25" customHeight="1">
      <c r="A35" s="44">
        <v>1057.0</v>
      </c>
      <c r="B35" s="45" t="s">
        <v>502</v>
      </c>
      <c r="C35" s="44" t="s">
        <v>96</v>
      </c>
      <c r="D35" s="44" t="s">
        <v>437</v>
      </c>
      <c r="E35" s="44" t="s">
        <v>503</v>
      </c>
      <c r="F35" s="44" t="s">
        <v>504</v>
      </c>
      <c r="G35" s="46">
        <v>35.890415</v>
      </c>
      <c r="H35" s="46">
        <v>127.820541</v>
      </c>
      <c r="I35" s="47" t="str">
        <f t="shared" si="1"/>
        <v/>
      </c>
      <c r="J35" s="48">
        <f t="shared" si="2"/>
        <v>0</v>
      </c>
      <c r="K35" s="48" t="str">
        <f>IFERROR(__xludf.DUMMYFUNCTION("REGEXREPLACE(
  INDEX(
    $S$1:$BK$1,
    MATCH(
      MAX(
        MAP($T35:$BI35,$V35:$BK35,LAMBDA(a,c,IF(a=$I35,c)))
      ),
      MAP($T35:$BI35,$V35:$BK35,LAMBDA(a,c,IF(a=$I35,c))),
      0
    )
  ),
  ""^\d+_"",
  """"
)"),"#N/A")</f>
        <v>#N/A</v>
      </c>
      <c r="L35" s="48" t="str">
        <f t="shared" si="3"/>
        <v>#N/A</v>
      </c>
      <c r="M35" s="48" t="str">
        <f t="shared" si="4"/>
        <v>#N/A</v>
      </c>
      <c r="N35" s="47" t="str">
        <f t="shared" si="5"/>
        <v/>
      </c>
      <c r="O35" s="47">
        <f t="shared" si="6"/>
        <v>0</v>
      </c>
      <c r="P35" s="47" t="str">
        <f>IFERROR(__xludf.DUMMYFUNCTION("REGEXREPLACE(
  INDEX(
    {$S$1:$AQ$1,$AW$1:$BF$1},
    MATCH(
      MAX({
        MAP($T35:$AO35,$V35:$AQ35,LAMBDA(a,c,IF(a=$N35,c))),
        MAP($AX35:$BD35,$AZ35:$BF35,LAMBDA(a,c,IF(a=$N35,c)))
      }),
      {
        MAP($T35:$AO35,$V35:$AQ35,LAMB"&amp;"DA(a,c,IF(a=$N35,c))),
        MAP($AX35:$BD35,$AZ35:$BF35,LAMBDA(a,c,IF(a=$N35,c)))
      },
      0
    )
  ),
  ""^\d+_"",
  """"
)"),"#N/A")</f>
        <v>#N/A</v>
      </c>
      <c r="Q35" s="47" t="str">
        <f t="shared" si="7"/>
        <v>#N/A</v>
      </c>
      <c r="R35" s="47" t="str">
        <f t="shared" si="8"/>
        <v>#N/A</v>
      </c>
      <c r="S35" s="47" t="s">
        <v>505</v>
      </c>
      <c r="T35" s="48"/>
      <c r="U35" s="48"/>
      <c r="V35" s="48"/>
      <c r="W35" s="48"/>
      <c r="X35" s="47" t="s">
        <v>506</v>
      </c>
      <c r="Y35" s="48"/>
      <c r="Z35" s="48"/>
      <c r="AA35" s="48"/>
      <c r="AB35" s="48"/>
      <c r="AC35" s="47" t="s">
        <v>507</v>
      </c>
      <c r="AD35" s="48"/>
      <c r="AE35" s="48"/>
      <c r="AF35" s="48"/>
      <c r="AG35" s="48"/>
      <c r="AH35" s="47" t="s">
        <v>508</v>
      </c>
      <c r="AI35" s="48"/>
      <c r="AJ35" s="48"/>
      <c r="AK35" s="48"/>
      <c r="AL35" s="48"/>
      <c r="AM35" s="47" t="s">
        <v>509</v>
      </c>
      <c r="AN35" s="48"/>
      <c r="AO35" s="48"/>
      <c r="AP35" s="48"/>
      <c r="AQ35" s="48"/>
      <c r="AR35" s="47" t="s">
        <v>510</v>
      </c>
      <c r="AS35" s="48"/>
      <c r="AT35" s="48"/>
      <c r="AU35" s="48"/>
      <c r="AV35" s="48"/>
      <c r="AW35" s="47" t="s">
        <v>511</v>
      </c>
      <c r="AX35" s="48"/>
      <c r="AY35" s="48"/>
      <c r="AZ35" s="48"/>
      <c r="BA35" s="48"/>
      <c r="BB35" s="47" t="s">
        <v>512</v>
      </c>
      <c r="BC35" s="48"/>
      <c r="BD35" s="48"/>
      <c r="BE35" s="48"/>
      <c r="BF35" s="48"/>
      <c r="BG35" s="47" t="s">
        <v>513</v>
      </c>
      <c r="BH35" s="48"/>
      <c r="BI35" s="48"/>
      <c r="BJ35" s="48"/>
      <c r="BK35" s="48"/>
      <c r="BL35" s="47" t="s">
        <v>514</v>
      </c>
      <c r="BM35" s="48"/>
      <c r="BN35" s="48"/>
      <c r="BO35" s="48"/>
    </row>
    <row r="36" ht="26.25" customHeight="1">
      <c r="A36" s="44">
        <v>1058.0</v>
      </c>
      <c r="B36" s="45" t="s">
        <v>515</v>
      </c>
      <c r="C36" s="44" t="s">
        <v>96</v>
      </c>
      <c r="D36" s="44" t="s">
        <v>437</v>
      </c>
      <c r="E36" s="44" t="s">
        <v>516</v>
      </c>
      <c r="F36" s="44" t="s">
        <v>517</v>
      </c>
      <c r="G36" s="46">
        <v>35.93331184</v>
      </c>
      <c r="H36" s="46">
        <v>127.8321611</v>
      </c>
      <c r="I36" s="47" t="str">
        <f t="shared" si="1"/>
        <v/>
      </c>
      <c r="J36" s="48">
        <f t="shared" si="2"/>
        <v>0</v>
      </c>
      <c r="K36" s="48" t="str">
        <f>IFERROR(__xludf.DUMMYFUNCTION("REGEXREPLACE(
  INDEX(
    $S$1:$BK$1,
    MATCH(
      MAX(
        MAP($T36:$BI36,$V36:$BK36,LAMBDA(a,c,IF(a=$I36,c)))
      ),
      MAP($T36:$BI36,$V36:$BK36,LAMBDA(a,c,IF(a=$I36,c))),
      0
    )
  ),
  ""^\d+_"",
  """"
)"),"#N/A")</f>
        <v>#N/A</v>
      </c>
      <c r="L36" s="48" t="str">
        <f t="shared" si="3"/>
        <v>#N/A</v>
      </c>
      <c r="M36" s="48" t="str">
        <f t="shared" si="4"/>
        <v>#N/A</v>
      </c>
      <c r="N36" s="47" t="str">
        <f t="shared" si="5"/>
        <v/>
      </c>
      <c r="O36" s="47">
        <f t="shared" si="6"/>
        <v>0</v>
      </c>
      <c r="P36" s="47" t="str">
        <f>IFERROR(__xludf.DUMMYFUNCTION("REGEXREPLACE(
  INDEX(
    {$S$1:$AQ$1,$AW$1:$BF$1},
    MATCH(
      MAX({
        MAP($T36:$AO36,$V36:$AQ36,LAMBDA(a,c,IF(a=$N36,c))),
        MAP($AX36:$BD36,$AZ36:$BF36,LAMBDA(a,c,IF(a=$N36,c)))
      }),
      {
        MAP($T36:$AO36,$V36:$AQ36,LAMB"&amp;"DA(a,c,IF(a=$N36,c))),
        MAP($AX36:$BD36,$AZ36:$BF36,LAMBDA(a,c,IF(a=$N36,c)))
      },
      0
    )
  ),
  ""^\d+_"",
  """"
)"),"#N/A")</f>
        <v>#N/A</v>
      </c>
      <c r="Q36" s="47" t="str">
        <f t="shared" si="7"/>
        <v>#N/A</v>
      </c>
      <c r="R36" s="47" t="str">
        <f t="shared" si="8"/>
        <v>#N/A</v>
      </c>
      <c r="S36" s="47" t="s">
        <v>518</v>
      </c>
      <c r="T36" s="48"/>
      <c r="U36" s="48"/>
      <c r="V36" s="48"/>
      <c r="W36" s="48"/>
      <c r="X36" s="47" t="s">
        <v>519</v>
      </c>
      <c r="Y36" s="48"/>
      <c r="Z36" s="48"/>
      <c r="AA36" s="48"/>
      <c r="AB36" s="48"/>
      <c r="AC36" s="47" t="s">
        <v>520</v>
      </c>
      <c r="AD36" s="48"/>
      <c r="AE36" s="48"/>
      <c r="AF36" s="48"/>
      <c r="AG36" s="48"/>
      <c r="AH36" s="47" t="s">
        <v>521</v>
      </c>
      <c r="AI36" s="48"/>
      <c r="AJ36" s="48"/>
      <c r="AK36" s="48"/>
      <c r="AL36" s="48"/>
      <c r="AM36" s="47" t="s">
        <v>522</v>
      </c>
      <c r="AN36" s="48"/>
      <c r="AO36" s="48"/>
      <c r="AP36" s="48"/>
      <c r="AQ36" s="48"/>
      <c r="AR36" s="47" t="s">
        <v>523</v>
      </c>
      <c r="AS36" s="48"/>
      <c r="AT36" s="48"/>
      <c r="AU36" s="48"/>
      <c r="AV36" s="48"/>
      <c r="AW36" s="47" t="s">
        <v>524</v>
      </c>
      <c r="AX36" s="48"/>
      <c r="AY36" s="48"/>
      <c r="AZ36" s="48"/>
      <c r="BA36" s="48"/>
      <c r="BB36" s="47" t="s">
        <v>525</v>
      </c>
      <c r="BC36" s="48"/>
      <c r="BD36" s="48"/>
      <c r="BE36" s="48"/>
      <c r="BF36" s="48"/>
      <c r="BG36" s="47" t="s">
        <v>526</v>
      </c>
      <c r="BH36" s="48"/>
      <c r="BI36" s="48"/>
      <c r="BJ36" s="48"/>
      <c r="BK36" s="48"/>
      <c r="BL36" s="47" t="s">
        <v>527</v>
      </c>
      <c r="BM36" s="48"/>
      <c r="BN36" s="48"/>
      <c r="BO36" s="48"/>
    </row>
    <row r="37" ht="26.25" customHeight="1">
      <c r="A37" s="44">
        <v>1059.0</v>
      </c>
      <c r="B37" s="45" t="s">
        <v>528</v>
      </c>
      <c r="C37" s="44" t="s">
        <v>96</v>
      </c>
      <c r="D37" s="44" t="s">
        <v>437</v>
      </c>
      <c r="E37" s="44" t="s">
        <v>529</v>
      </c>
      <c r="F37" s="44" t="s">
        <v>530</v>
      </c>
      <c r="G37" s="46">
        <v>35.96676372</v>
      </c>
      <c r="H37" s="46">
        <v>127.8464511</v>
      </c>
      <c r="I37" s="47" t="str">
        <f t="shared" si="1"/>
        <v/>
      </c>
      <c r="J37" s="48">
        <f t="shared" si="2"/>
        <v>0</v>
      </c>
      <c r="K37" s="48" t="str">
        <f>IFERROR(__xludf.DUMMYFUNCTION("REGEXREPLACE(
  INDEX(
    $S$1:$BK$1,
    MATCH(
      MAX(
        MAP($T37:$BI37,$V37:$BK37,LAMBDA(a,c,IF(a=$I37,c)))
      ),
      MAP($T37:$BI37,$V37:$BK37,LAMBDA(a,c,IF(a=$I37,c))),
      0
    )
  ),
  ""^\d+_"",
  """"
)"),"#N/A")</f>
        <v>#N/A</v>
      </c>
      <c r="L37" s="48" t="str">
        <f t="shared" si="3"/>
        <v>#N/A</v>
      </c>
      <c r="M37" s="48" t="str">
        <f t="shared" si="4"/>
        <v>#N/A</v>
      </c>
      <c r="N37" s="47" t="str">
        <f t="shared" si="5"/>
        <v/>
      </c>
      <c r="O37" s="47">
        <f t="shared" si="6"/>
        <v>0</v>
      </c>
      <c r="P37" s="47" t="str">
        <f>IFERROR(__xludf.DUMMYFUNCTION("REGEXREPLACE(
  INDEX(
    {$S$1:$AQ$1,$AW$1:$BF$1},
    MATCH(
      MAX({
        MAP($T37:$AO37,$V37:$AQ37,LAMBDA(a,c,IF(a=$N37,c))),
        MAP($AX37:$BD37,$AZ37:$BF37,LAMBDA(a,c,IF(a=$N37,c)))
      }),
      {
        MAP($T37:$AO37,$V37:$AQ37,LAMB"&amp;"DA(a,c,IF(a=$N37,c))),
        MAP($AX37:$BD37,$AZ37:$BF37,LAMBDA(a,c,IF(a=$N37,c)))
      },
      0
    )
  ),
  ""^\d+_"",
  """"
)"),"#N/A")</f>
        <v>#N/A</v>
      </c>
      <c r="Q37" s="47" t="str">
        <f t="shared" si="7"/>
        <v>#N/A</v>
      </c>
      <c r="R37" s="47" t="str">
        <f t="shared" si="8"/>
        <v>#N/A</v>
      </c>
      <c r="S37" s="47" t="s">
        <v>531</v>
      </c>
      <c r="T37" s="48"/>
      <c r="U37" s="48"/>
      <c r="V37" s="48"/>
      <c r="W37" s="48"/>
      <c r="X37" s="47" t="s">
        <v>532</v>
      </c>
      <c r="Y37" s="48"/>
      <c r="Z37" s="48"/>
      <c r="AA37" s="48"/>
      <c r="AB37" s="48"/>
      <c r="AC37" s="47" t="s">
        <v>533</v>
      </c>
      <c r="AD37" s="48"/>
      <c r="AE37" s="48"/>
      <c r="AF37" s="48"/>
      <c r="AG37" s="48"/>
      <c r="AH37" s="47" t="s">
        <v>534</v>
      </c>
      <c r="AI37" s="48"/>
      <c r="AJ37" s="48"/>
      <c r="AK37" s="48"/>
      <c r="AL37" s="48"/>
      <c r="AM37" s="47" t="s">
        <v>535</v>
      </c>
      <c r="AN37" s="48"/>
      <c r="AO37" s="48"/>
      <c r="AP37" s="48"/>
      <c r="AQ37" s="48"/>
      <c r="AR37" s="47" t="s">
        <v>536</v>
      </c>
      <c r="AS37" s="48"/>
      <c r="AT37" s="48"/>
      <c r="AU37" s="48"/>
      <c r="AV37" s="48"/>
      <c r="AW37" s="47" t="s">
        <v>537</v>
      </c>
      <c r="AX37" s="48"/>
      <c r="AY37" s="48"/>
      <c r="AZ37" s="48"/>
      <c r="BA37" s="48"/>
      <c r="BB37" s="47" t="s">
        <v>538</v>
      </c>
      <c r="BC37" s="48"/>
      <c r="BD37" s="48"/>
      <c r="BE37" s="48"/>
      <c r="BF37" s="48"/>
      <c r="BG37" s="47" t="s">
        <v>539</v>
      </c>
      <c r="BH37" s="48"/>
      <c r="BI37" s="48"/>
      <c r="BJ37" s="48"/>
      <c r="BK37" s="48"/>
      <c r="BL37" s="47" t="s">
        <v>540</v>
      </c>
      <c r="BM37" s="48"/>
      <c r="BN37" s="48"/>
      <c r="BO37" s="48"/>
    </row>
    <row r="38" ht="26.25" customHeight="1">
      <c r="A38" s="44">
        <v>1060.0</v>
      </c>
      <c r="B38" s="45" t="s">
        <v>541</v>
      </c>
      <c r="C38" s="44" t="s">
        <v>96</v>
      </c>
      <c r="D38" s="44" t="s">
        <v>437</v>
      </c>
      <c r="E38" s="44" t="s">
        <v>542</v>
      </c>
      <c r="F38" s="44" t="s">
        <v>543</v>
      </c>
      <c r="G38" s="46">
        <v>36.015396</v>
      </c>
      <c r="H38" s="46">
        <v>127.580109</v>
      </c>
      <c r="I38" s="47" t="str">
        <f t="shared" si="1"/>
        <v/>
      </c>
      <c r="J38" s="48">
        <f t="shared" si="2"/>
        <v>0</v>
      </c>
      <c r="K38" s="48" t="str">
        <f>IFERROR(__xludf.DUMMYFUNCTION("REGEXREPLACE(
  INDEX(
    $S$1:$BK$1,
    MATCH(
      MAX(
        MAP($T38:$BI38,$V38:$BK38,LAMBDA(a,c,IF(a=$I38,c)))
      ),
      MAP($T38:$BI38,$V38:$BK38,LAMBDA(a,c,IF(a=$I38,c))),
      0
    )
  ),
  ""^\d+_"",
  """"
)"),"#N/A")</f>
        <v>#N/A</v>
      </c>
      <c r="L38" s="48" t="str">
        <f t="shared" si="3"/>
        <v>#N/A</v>
      </c>
      <c r="M38" s="48" t="str">
        <f t="shared" si="4"/>
        <v>#N/A</v>
      </c>
      <c r="N38" s="47" t="str">
        <f t="shared" si="5"/>
        <v/>
      </c>
      <c r="O38" s="47">
        <f t="shared" si="6"/>
        <v>0</v>
      </c>
      <c r="P38" s="47" t="str">
        <f>IFERROR(__xludf.DUMMYFUNCTION("REGEXREPLACE(
  INDEX(
    {$S$1:$AQ$1,$AW$1:$BF$1},
    MATCH(
      MAX({
        MAP($T38:$AO38,$V38:$AQ38,LAMBDA(a,c,IF(a=$N38,c))),
        MAP($AX38:$BD38,$AZ38:$BF38,LAMBDA(a,c,IF(a=$N38,c)))
      }),
      {
        MAP($T38:$AO38,$V38:$AQ38,LAMB"&amp;"DA(a,c,IF(a=$N38,c))),
        MAP($AX38:$BD38,$AZ38:$BF38,LAMBDA(a,c,IF(a=$N38,c)))
      },
      0
    )
  ),
  ""^\d+_"",
  """"
)"),"#N/A")</f>
        <v>#N/A</v>
      </c>
      <c r="Q38" s="47" t="str">
        <f t="shared" si="7"/>
        <v>#N/A</v>
      </c>
      <c r="R38" s="47" t="str">
        <f t="shared" si="8"/>
        <v>#N/A</v>
      </c>
      <c r="S38" s="47" t="s">
        <v>544</v>
      </c>
      <c r="T38" s="48"/>
      <c r="U38" s="48"/>
      <c r="V38" s="48"/>
      <c r="W38" s="48"/>
      <c r="X38" s="47" t="s">
        <v>545</v>
      </c>
      <c r="Y38" s="48"/>
      <c r="Z38" s="48"/>
      <c r="AA38" s="48"/>
      <c r="AB38" s="48"/>
      <c r="AC38" s="47" t="s">
        <v>546</v>
      </c>
      <c r="AD38" s="48"/>
      <c r="AE38" s="48"/>
      <c r="AF38" s="48"/>
      <c r="AG38" s="48"/>
      <c r="AH38" s="47" t="s">
        <v>547</v>
      </c>
      <c r="AI38" s="48"/>
      <c r="AJ38" s="48"/>
      <c r="AK38" s="48"/>
      <c r="AL38" s="48"/>
      <c r="AM38" s="47" t="s">
        <v>548</v>
      </c>
      <c r="AN38" s="48"/>
      <c r="AO38" s="48"/>
      <c r="AP38" s="48"/>
      <c r="AQ38" s="48"/>
      <c r="AR38" s="47" t="s">
        <v>549</v>
      </c>
      <c r="AS38" s="48"/>
      <c r="AT38" s="48"/>
      <c r="AU38" s="48"/>
      <c r="AV38" s="48"/>
      <c r="AW38" s="47" t="s">
        <v>550</v>
      </c>
      <c r="AX38" s="48"/>
      <c r="AY38" s="48"/>
      <c r="AZ38" s="48"/>
      <c r="BA38" s="48"/>
      <c r="BB38" s="47" t="s">
        <v>551</v>
      </c>
      <c r="BC38" s="48"/>
      <c r="BD38" s="48"/>
      <c r="BE38" s="48"/>
      <c r="BF38" s="48"/>
      <c r="BG38" s="47" t="s">
        <v>552</v>
      </c>
      <c r="BH38" s="48"/>
      <c r="BI38" s="48"/>
      <c r="BJ38" s="48"/>
      <c r="BK38" s="48"/>
      <c r="BL38" s="47" t="s">
        <v>553</v>
      </c>
      <c r="BM38" s="48"/>
      <c r="BN38" s="48"/>
      <c r="BO38" s="48"/>
    </row>
    <row r="39" ht="26.25" customHeight="1">
      <c r="A39" s="44">
        <v>1061.0</v>
      </c>
      <c r="B39" s="45" t="s">
        <v>554</v>
      </c>
      <c r="C39" s="44" t="s">
        <v>96</v>
      </c>
      <c r="D39" s="44" t="s">
        <v>437</v>
      </c>
      <c r="E39" s="44" t="s">
        <v>555</v>
      </c>
      <c r="F39" s="44" t="s">
        <v>556</v>
      </c>
      <c r="G39" s="46">
        <v>35.942842</v>
      </c>
      <c r="H39" s="46">
        <v>127.567692</v>
      </c>
      <c r="I39" s="47" t="str">
        <f t="shared" si="1"/>
        <v/>
      </c>
      <c r="J39" s="48">
        <f t="shared" si="2"/>
        <v>0</v>
      </c>
      <c r="K39" s="48" t="str">
        <f>IFERROR(__xludf.DUMMYFUNCTION("REGEXREPLACE(
  INDEX(
    $S$1:$BK$1,
    MATCH(
      MAX(
        MAP($T39:$BI39,$V39:$BK39,LAMBDA(a,c,IF(a=$I39,c)))
      ),
      MAP($T39:$BI39,$V39:$BK39,LAMBDA(a,c,IF(a=$I39,c))),
      0
    )
  ),
  ""^\d+_"",
  """"
)"),"#N/A")</f>
        <v>#N/A</v>
      </c>
      <c r="L39" s="48" t="str">
        <f t="shared" si="3"/>
        <v>#N/A</v>
      </c>
      <c r="M39" s="48" t="str">
        <f t="shared" si="4"/>
        <v>#N/A</v>
      </c>
      <c r="N39" s="47" t="str">
        <f t="shared" si="5"/>
        <v/>
      </c>
      <c r="O39" s="47">
        <f t="shared" si="6"/>
        <v>0</v>
      </c>
      <c r="P39" s="47" t="str">
        <f>IFERROR(__xludf.DUMMYFUNCTION("REGEXREPLACE(
  INDEX(
    {$S$1:$AQ$1,$AW$1:$BF$1},
    MATCH(
      MAX({
        MAP($T39:$AO39,$V39:$AQ39,LAMBDA(a,c,IF(a=$N39,c))),
        MAP($AX39:$BD39,$AZ39:$BF39,LAMBDA(a,c,IF(a=$N39,c)))
      }),
      {
        MAP($T39:$AO39,$V39:$AQ39,LAMB"&amp;"DA(a,c,IF(a=$N39,c))),
        MAP($AX39:$BD39,$AZ39:$BF39,LAMBDA(a,c,IF(a=$N39,c)))
      },
      0
    )
  ),
  ""^\d+_"",
  """"
)"),"#N/A")</f>
        <v>#N/A</v>
      </c>
      <c r="Q39" s="47" t="str">
        <f t="shared" si="7"/>
        <v>#N/A</v>
      </c>
      <c r="R39" s="47" t="str">
        <f t="shared" si="8"/>
        <v>#N/A</v>
      </c>
      <c r="S39" s="47" t="s">
        <v>557</v>
      </c>
      <c r="T39" s="48"/>
      <c r="U39" s="48"/>
      <c r="V39" s="48"/>
      <c r="W39" s="48"/>
      <c r="X39" s="47" t="s">
        <v>558</v>
      </c>
      <c r="Y39" s="48"/>
      <c r="Z39" s="48"/>
      <c r="AA39" s="48"/>
      <c r="AB39" s="48"/>
      <c r="AC39" s="47" t="s">
        <v>559</v>
      </c>
      <c r="AD39" s="48"/>
      <c r="AE39" s="48"/>
      <c r="AF39" s="48"/>
      <c r="AG39" s="48"/>
      <c r="AH39" s="47" t="s">
        <v>560</v>
      </c>
      <c r="AI39" s="48"/>
      <c r="AJ39" s="48"/>
      <c r="AK39" s="48"/>
      <c r="AL39" s="48"/>
      <c r="AM39" s="47" t="s">
        <v>561</v>
      </c>
      <c r="AN39" s="48"/>
      <c r="AO39" s="48"/>
      <c r="AP39" s="48"/>
      <c r="AQ39" s="48"/>
      <c r="AR39" s="47" t="s">
        <v>562</v>
      </c>
      <c r="AS39" s="48"/>
      <c r="AT39" s="48"/>
      <c r="AU39" s="48"/>
      <c r="AV39" s="48"/>
      <c r="AW39" s="47" t="s">
        <v>563</v>
      </c>
      <c r="AX39" s="48"/>
      <c r="AY39" s="48"/>
      <c r="AZ39" s="48"/>
      <c r="BA39" s="48"/>
      <c r="BB39" s="47" t="s">
        <v>564</v>
      </c>
      <c r="BC39" s="48"/>
      <c r="BD39" s="48"/>
      <c r="BE39" s="48"/>
      <c r="BF39" s="48"/>
      <c r="BG39" s="47" t="s">
        <v>565</v>
      </c>
      <c r="BH39" s="48"/>
      <c r="BI39" s="48"/>
      <c r="BJ39" s="48"/>
      <c r="BK39" s="48"/>
      <c r="BL39" s="47" t="s">
        <v>566</v>
      </c>
      <c r="BM39" s="48"/>
      <c r="BN39" s="48"/>
      <c r="BO39" s="48"/>
    </row>
    <row r="40" ht="26.25" customHeight="1">
      <c r="A40" s="44">
        <v>1062.0</v>
      </c>
      <c r="B40" s="45" t="s">
        <v>567</v>
      </c>
      <c r="C40" s="44" t="s">
        <v>96</v>
      </c>
      <c r="D40" s="44" t="s">
        <v>437</v>
      </c>
      <c r="E40" s="44" t="s">
        <v>568</v>
      </c>
      <c r="F40" s="44" t="s">
        <v>569</v>
      </c>
      <c r="G40" s="46">
        <v>35.90391806</v>
      </c>
      <c r="H40" s="46">
        <v>127.592073</v>
      </c>
      <c r="I40" s="47" t="str">
        <f t="shared" si="1"/>
        <v/>
      </c>
      <c r="J40" s="48">
        <f t="shared" si="2"/>
        <v>0</v>
      </c>
      <c r="K40" s="48" t="str">
        <f>IFERROR(__xludf.DUMMYFUNCTION("REGEXREPLACE(
  INDEX(
    $S$1:$BK$1,
    MATCH(
      MAX(
        MAP($T40:$BI40,$V40:$BK40,LAMBDA(a,c,IF(a=$I40,c)))
      ),
      MAP($T40:$BI40,$V40:$BK40,LAMBDA(a,c,IF(a=$I40,c))),
      0
    )
  ),
  ""^\d+_"",
  """"
)"),"#N/A")</f>
        <v>#N/A</v>
      </c>
      <c r="L40" s="48" t="str">
        <f t="shared" si="3"/>
        <v>#N/A</v>
      </c>
      <c r="M40" s="48" t="str">
        <f t="shared" si="4"/>
        <v>#N/A</v>
      </c>
      <c r="N40" s="47" t="str">
        <f t="shared" si="5"/>
        <v/>
      </c>
      <c r="O40" s="47">
        <f t="shared" si="6"/>
        <v>0</v>
      </c>
      <c r="P40" s="47" t="str">
        <f>IFERROR(__xludf.DUMMYFUNCTION("REGEXREPLACE(
  INDEX(
    {$S$1:$AQ$1,$AW$1:$BF$1},
    MATCH(
      MAX({
        MAP($T40:$AO40,$V40:$AQ40,LAMBDA(a,c,IF(a=$N40,c))),
        MAP($AX40:$BD40,$AZ40:$BF40,LAMBDA(a,c,IF(a=$N40,c)))
      }),
      {
        MAP($T40:$AO40,$V40:$AQ40,LAMB"&amp;"DA(a,c,IF(a=$N40,c))),
        MAP($AX40:$BD40,$AZ40:$BF40,LAMBDA(a,c,IF(a=$N40,c)))
      },
      0
    )
  ),
  ""^\d+_"",
  """"
)"),"#N/A")</f>
        <v>#N/A</v>
      </c>
      <c r="Q40" s="47" t="str">
        <f t="shared" si="7"/>
        <v>#N/A</v>
      </c>
      <c r="R40" s="47" t="str">
        <f t="shared" si="8"/>
        <v>#N/A</v>
      </c>
      <c r="S40" s="47" t="s">
        <v>570</v>
      </c>
      <c r="T40" s="48"/>
      <c r="U40" s="48"/>
      <c r="V40" s="48"/>
      <c r="W40" s="48"/>
      <c r="X40" s="47" t="s">
        <v>571</v>
      </c>
      <c r="Y40" s="48"/>
      <c r="Z40" s="48"/>
      <c r="AA40" s="48"/>
      <c r="AB40" s="48"/>
      <c r="AC40" s="47" t="s">
        <v>572</v>
      </c>
      <c r="AD40" s="48"/>
      <c r="AE40" s="48"/>
      <c r="AF40" s="48"/>
      <c r="AG40" s="48"/>
      <c r="AH40" s="47" t="s">
        <v>573</v>
      </c>
      <c r="AI40" s="48"/>
      <c r="AJ40" s="48"/>
      <c r="AK40" s="48"/>
      <c r="AL40" s="48"/>
      <c r="AM40" s="47" t="s">
        <v>574</v>
      </c>
      <c r="AN40" s="48"/>
      <c r="AO40" s="48"/>
      <c r="AP40" s="48"/>
      <c r="AQ40" s="48"/>
      <c r="AR40" s="47" t="s">
        <v>575</v>
      </c>
      <c r="AS40" s="48"/>
      <c r="AT40" s="48"/>
      <c r="AU40" s="48"/>
      <c r="AV40" s="48"/>
      <c r="AW40" s="47" t="s">
        <v>576</v>
      </c>
      <c r="AX40" s="48"/>
      <c r="AY40" s="48"/>
      <c r="AZ40" s="48"/>
      <c r="BA40" s="48"/>
      <c r="BB40" s="47" t="s">
        <v>577</v>
      </c>
      <c r="BC40" s="48"/>
      <c r="BD40" s="48"/>
      <c r="BE40" s="48"/>
      <c r="BF40" s="48"/>
      <c r="BG40" s="47" t="s">
        <v>578</v>
      </c>
      <c r="BH40" s="48"/>
      <c r="BI40" s="48"/>
      <c r="BJ40" s="48"/>
      <c r="BK40" s="48"/>
      <c r="BL40" s="47" t="s">
        <v>579</v>
      </c>
      <c r="BM40" s="48"/>
      <c r="BN40" s="48"/>
      <c r="BO40" s="48"/>
    </row>
    <row r="41" ht="26.25" customHeight="1">
      <c r="A41" s="44">
        <v>1063.0</v>
      </c>
      <c r="B41" s="45" t="s">
        <v>580</v>
      </c>
      <c r="C41" s="44" t="s">
        <v>96</v>
      </c>
      <c r="D41" s="44" t="s">
        <v>437</v>
      </c>
      <c r="E41" s="44" t="s">
        <v>581</v>
      </c>
      <c r="F41" s="44" t="s">
        <v>582</v>
      </c>
      <c r="G41" s="46">
        <v>35.96824774</v>
      </c>
      <c r="H41" s="46">
        <v>127.7736402</v>
      </c>
      <c r="I41" s="47" t="str">
        <f t="shared" si="1"/>
        <v/>
      </c>
      <c r="J41" s="48">
        <f t="shared" si="2"/>
        <v>0</v>
      </c>
      <c r="K41" s="48" t="str">
        <f>IFERROR(__xludf.DUMMYFUNCTION("REGEXREPLACE(
  INDEX(
    $S$1:$BK$1,
    MATCH(
      MAX(
        MAP($T41:$BI41,$V41:$BK41,LAMBDA(a,c,IF(a=$I41,c)))
      ),
      MAP($T41:$BI41,$V41:$BK41,LAMBDA(a,c,IF(a=$I41,c))),
      0
    )
  ),
  ""^\d+_"",
  """"
)"),"#N/A")</f>
        <v>#N/A</v>
      </c>
      <c r="L41" s="48" t="str">
        <f t="shared" si="3"/>
        <v>#N/A</v>
      </c>
      <c r="M41" s="48" t="str">
        <f t="shared" si="4"/>
        <v>#N/A</v>
      </c>
      <c r="N41" s="47" t="str">
        <f t="shared" si="5"/>
        <v/>
      </c>
      <c r="O41" s="47">
        <f t="shared" si="6"/>
        <v>0</v>
      </c>
      <c r="P41" s="47" t="str">
        <f>IFERROR(__xludf.DUMMYFUNCTION("REGEXREPLACE(
  INDEX(
    {$S$1:$AQ$1,$AW$1:$BF$1},
    MATCH(
      MAX({
        MAP($T41:$AO41,$V41:$AQ41,LAMBDA(a,c,IF(a=$N41,c))),
        MAP($AX41:$BD41,$AZ41:$BF41,LAMBDA(a,c,IF(a=$N41,c)))
      }),
      {
        MAP($T41:$AO41,$V41:$AQ41,LAMB"&amp;"DA(a,c,IF(a=$N41,c))),
        MAP($AX41:$BD41,$AZ41:$BF41,LAMBDA(a,c,IF(a=$N41,c)))
      },
      0
    )
  ),
  ""^\d+_"",
  """"
)"),"#N/A")</f>
        <v>#N/A</v>
      </c>
      <c r="Q41" s="47" t="str">
        <f t="shared" si="7"/>
        <v>#N/A</v>
      </c>
      <c r="R41" s="47" t="str">
        <f t="shared" si="8"/>
        <v>#N/A</v>
      </c>
      <c r="S41" s="47" t="s">
        <v>583</v>
      </c>
      <c r="T41" s="48"/>
      <c r="U41" s="48"/>
      <c r="V41" s="48"/>
      <c r="W41" s="48"/>
      <c r="X41" s="47" t="s">
        <v>584</v>
      </c>
      <c r="Y41" s="48"/>
      <c r="Z41" s="48"/>
      <c r="AA41" s="48"/>
      <c r="AB41" s="48"/>
      <c r="AC41" s="47" t="s">
        <v>585</v>
      </c>
      <c r="AD41" s="48"/>
      <c r="AE41" s="48"/>
      <c r="AF41" s="48"/>
      <c r="AG41" s="48"/>
      <c r="AH41" s="47" t="s">
        <v>586</v>
      </c>
      <c r="AI41" s="48"/>
      <c r="AJ41" s="48"/>
      <c r="AK41" s="48"/>
      <c r="AL41" s="48"/>
      <c r="AM41" s="47" t="s">
        <v>587</v>
      </c>
      <c r="AN41" s="48"/>
      <c r="AO41" s="48"/>
      <c r="AP41" s="48"/>
      <c r="AQ41" s="48"/>
      <c r="AR41" s="47" t="s">
        <v>588</v>
      </c>
      <c r="AS41" s="48"/>
      <c r="AT41" s="48"/>
      <c r="AU41" s="48"/>
      <c r="AV41" s="48"/>
      <c r="AW41" s="47" t="s">
        <v>589</v>
      </c>
      <c r="AX41" s="48"/>
      <c r="AY41" s="48"/>
      <c r="AZ41" s="48"/>
      <c r="BA41" s="48"/>
      <c r="BB41" s="47" t="s">
        <v>590</v>
      </c>
      <c r="BC41" s="48"/>
      <c r="BD41" s="48"/>
      <c r="BE41" s="48"/>
      <c r="BF41" s="48"/>
      <c r="BG41" s="47" t="s">
        <v>591</v>
      </c>
      <c r="BH41" s="48"/>
      <c r="BI41" s="48"/>
      <c r="BJ41" s="48"/>
      <c r="BK41" s="48"/>
      <c r="BL41" s="47" t="s">
        <v>592</v>
      </c>
      <c r="BM41" s="48"/>
      <c r="BN41" s="48"/>
      <c r="BO41" s="48"/>
    </row>
    <row r="42" ht="26.25" customHeight="1">
      <c r="A42" s="44">
        <v>1064.0</v>
      </c>
      <c r="B42" s="45" t="s">
        <v>593</v>
      </c>
      <c r="C42" s="44" t="s">
        <v>96</v>
      </c>
      <c r="D42" s="44" t="s">
        <v>437</v>
      </c>
      <c r="E42" s="44" t="s">
        <v>594</v>
      </c>
      <c r="F42" s="44" t="s">
        <v>595</v>
      </c>
      <c r="G42" s="46">
        <v>36.015465</v>
      </c>
      <c r="H42" s="46">
        <v>127.802269</v>
      </c>
      <c r="I42" s="47" t="str">
        <f t="shared" si="1"/>
        <v/>
      </c>
      <c r="J42" s="48">
        <f t="shared" si="2"/>
        <v>0</v>
      </c>
      <c r="K42" s="48" t="str">
        <f>IFERROR(__xludf.DUMMYFUNCTION("REGEXREPLACE(
  INDEX(
    $S$1:$BK$1,
    MATCH(
      MAX(
        MAP($T42:$BI42,$V42:$BK42,LAMBDA(a,c,IF(a=$I42,c)))
      ),
      MAP($T42:$BI42,$V42:$BK42,LAMBDA(a,c,IF(a=$I42,c))),
      0
    )
  ),
  ""^\d+_"",
  """"
)"),"#N/A")</f>
        <v>#N/A</v>
      </c>
      <c r="L42" s="48" t="str">
        <f t="shared" si="3"/>
        <v>#N/A</v>
      </c>
      <c r="M42" s="48" t="str">
        <f t="shared" si="4"/>
        <v>#N/A</v>
      </c>
      <c r="N42" s="47" t="str">
        <f t="shared" si="5"/>
        <v/>
      </c>
      <c r="O42" s="47">
        <f t="shared" si="6"/>
        <v>0</v>
      </c>
      <c r="P42" s="47" t="str">
        <f>IFERROR(__xludf.DUMMYFUNCTION("REGEXREPLACE(
  INDEX(
    {$S$1:$AQ$1,$AW$1:$BF$1},
    MATCH(
      MAX({
        MAP($T42:$AO42,$V42:$AQ42,LAMBDA(a,c,IF(a=$N42,c))),
        MAP($AX42:$BD42,$AZ42:$BF42,LAMBDA(a,c,IF(a=$N42,c)))
      }),
      {
        MAP($T42:$AO42,$V42:$AQ42,LAMB"&amp;"DA(a,c,IF(a=$N42,c))),
        MAP($AX42:$BD42,$AZ42:$BF42,LAMBDA(a,c,IF(a=$N42,c)))
      },
      0
    )
  ),
  ""^\d+_"",
  """"
)"),"#N/A")</f>
        <v>#N/A</v>
      </c>
      <c r="Q42" s="47" t="str">
        <f t="shared" si="7"/>
        <v>#N/A</v>
      </c>
      <c r="R42" s="47" t="str">
        <f t="shared" si="8"/>
        <v>#N/A</v>
      </c>
      <c r="S42" s="47" t="s">
        <v>596</v>
      </c>
      <c r="T42" s="48"/>
      <c r="U42" s="48"/>
      <c r="V42" s="48"/>
      <c r="W42" s="48"/>
      <c r="X42" s="47" t="s">
        <v>597</v>
      </c>
      <c r="Y42" s="48"/>
      <c r="Z42" s="48"/>
      <c r="AA42" s="48"/>
      <c r="AB42" s="48"/>
      <c r="AC42" s="47" t="s">
        <v>598</v>
      </c>
      <c r="AD42" s="48"/>
      <c r="AE42" s="48"/>
      <c r="AF42" s="48"/>
      <c r="AG42" s="48"/>
      <c r="AH42" s="47" t="s">
        <v>599</v>
      </c>
      <c r="AI42" s="48"/>
      <c r="AJ42" s="48"/>
      <c r="AK42" s="48"/>
      <c r="AL42" s="48"/>
      <c r="AM42" s="47" t="s">
        <v>600</v>
      </c>
      <c r="AN42" s="48"/>
      <c r="AO42" s="48"/>
      <c r="AP42" s="48"/>
      <c r="AQ42" s="48"/>
      <c r="AR42" s="47" t="s">
        <v>601</v>
      </c>
      <c r="AS42" s="48"/>
      <c r="AT42" s="48"/>
      <c r="AU42" s="48"/>
      <c r="AV42" s="48"/>
      <c r="AW42" s="47" t="s">
        <v>602</v>
      </c>
      <c r="AX42" s="48"/>
      <c r="AY42" s="48"/>
      <c r="AZ42" s="48"/>
      <c r="BA42" s="48"/>
      <c r="BB42" s="47" t="s">
        <v>603</v>
      </c>
      <c r="BC42" s="48"/>
      <c r="BD42" s="48"/>
      <c r="BE42" s="48"/>
      <c r="BF42" s="48"/>
      <c r="BG42" s="47" t="s">
        <v>604</v>
      </c>
      <c r="BH42" s="48"/>
      <c r="BI42" s="48"/>
      <c r="BJ42" s="48"/>
      <c r="BK42" s="48"/>
      <c r="BL42" s="47" t="s">
        <v>605</v>
      </c>
      <c r="BM42" s="48"/>
      <c r="BN42" s="48"/>
      <c r="BO42" s="48"/>
    </row>
    <row r="43" ht="26.25" customHeight="1">
      <c r="A43" s="44">
        <v>1065.0</v>
      </c>
      <c r="B43" s="45" t="s">
        <v>606</v>
      </c>
      <c r="C43" s="44" t="s">
        <v>96</v>
      </c>
      <c r="D43" s="44" t="s">
        <v>437</v>
      </c>
      <c r="E43" s="44" t="s">
        <v>607</v>
      </c>
      <c r="F43" s="44" t="s">
        <v>608</v>
      </c>
      <c r="G43" s="46">
        <v>35.90734648</v>
      </c>
      <c r="H43" s="46">
        <v>127.7540128</v>
      </c>
      <c r="I43" s="47" t="str">
        <f t="shared" si="1"/>
        <v/>
      </c>
      <c r="J43" s="48">
        <f t="shared" si="2"/>
        <v>0</v>
      </c>
      <c r="K43" s="48" t="str">
        <f>IFERROR(__xludf.DUMMYFUNCTION("REGEXREPLACE(
  INDEX(
    $S$1:$BK$1,
    MATCH(
      MAX(
        MAP($T43:$BI43,$V43:$BK43,LAMBDA(a,c,IF(a=$I43,c)))
      ),
      MAP($T43:$BI43,$V43:$BK43,LAMBDA(a,c,IF(a=$I43,c))),
      0
    )
  ),
  ""^\d+_"",
  """"
)"),"#N/A")</f>
        <v>#N/A</v>
      </c>
      <c r="L43" s="48" t="str">
        <f t="shared" si="3"/>
        <v>#N/A</v>
      </c>
      <c r="M43" s="48" t="str">
        <f t="shared" si="4"/>
        <v>#N/A</v>
      </c>
      <c r="N43" s="47" t="str">
        <f t="shared" si="5"/>
        <v/>
      </c>
      <c r="O43" s="47">
        <f t="shared" si="6"/>
        <v>0</v>
      </c>
      <c r="P43" s="47" t="str">
        <f>IFERROR(__xludf.DUMMYFUNCTION("REGEXREPLACE(
  INDEX(
    {$S$1:$AQ$1,$AW$1:$BF$1},
    MATCH(
      MAX({
        MAP($T43:$AO43,$V43:$AQ43,LAMBDA(a,c,IF(a=$N43,c))),
        MAP($AX43:$BD43,$AZ43:$BF43,LAMBDA(a,c,IF(a=$N43,c)))
      }),
      {
        MAP($T43:$AO43,$V43:$AQ43,LAMB"&amp;"DA(a,c,IF(a=$N43,c))),
        MAP($AX43:$BD43,$AZ43:$BF43,LAMBDA(a,c,IF(a=$N43,c)))
      },
      0
    )
  ),
  ""^\d+_"",
  """"
)"),"#N/A")</f>
        <v>#N/A</v>
      </c>
      <c r="Q43" s="47" t="str">
        <f t="shared" si="7"/>
        <v>#N/A</v>
      </c>
      <c r="R43" s="47" t="str">
        <f t="shared" si="8"/>
        <v>#N/A</v>
      </c>
      <c r="S43" s="47" t="s">
        <v>609</v>
      </c>
      <c r="T43" s="48"/>
      <c r="U43" s="48"/>
      <c r="V43" s="48"/>
      <c r="W43" s="48"/>
      <c r="X43" s="47" t="s">
        <v>610</v>
      </c>
      <c r="Y43" s="48"/>
      <c r="Z43" s="48"/>
      <c r="AA43" s="48"/>
      <c r="AB43" s="48"/>
      <c r="AC43" s="47" t="s">
        <v>611</v>
      </c>
      <c r="AD43" s="48"/>
      <c r="AE43" s="48"/>
      <c r="AF43" s="48"/>
      <c r="AG43" s="48"/>
      <c r="AH43" s="47" t="s">
        <v>612</v>
      </c>
      <c r="AI43" s="48"/>
      <c r="AJ43" s="48"/>
      <c r="AK43" s="48"/>
      <c r="AL43" s="48"/>
      <c r="AM43" s="47" t="s">
        <v>613</v>
      </c>
      <c r="AN43" s="48"/>
      <c r="AO43" s="48"/>
      <c r="AP43" s="48"/>
      <c r="AQ43" s="48"/>
      <c r="AR43" s="47" t="s">
        <v>614</v>
      </c>
      <c r="AS43" s="48"/>
      <c r="AT43" s="48"/>
      <c r="AU43" s="48"/>
      <c r="AV43" s="48"/>
      <c r="AW43" s="47" t="s">
        <v>615</v>
      </c>
      <c r="AX43" s="48"/>
      <c r="AY43" s="48"/>
      <c r="AZ43" s="48"/>
      <c r="BA43" s="48"/>
      <c r="BB43" s="47" t="s">
        <v>616</v>
      </c>
      <c r="BC43" s="48"/>
      <c r="BD43" s="48"/>
      <c r="BE43" s="48"/>
      <c r="BF43" s="48"/>
      <c r="BG43" s="47" t="s">
        <v>617</v>
      </c>
      <c r="BH43" s="48"/>
      <c r="BI43" s="48"/>
      <c r="BJ43" s="48"/>
      <c r="BK43" s="48"/>
      <c r="BL43" s="47" t="s">
        <v>618</v>
      </c>
      <c r="BM43" s="48"/>
      <c r="BN43" s="48"/>
      <c r="BO43" s="48"/>
    </row>
    <row r="44" ht="26.25" customHeight="1">
      <c r="A44" s="44">
        <v>1066.0</v>
      </c>
      <c r="B44" s="45" t="s">
        <v>619</v>
      </c>
      <c r="C44" s="44" t="s">
        <v>96</v>
      </c>
      <c r="D44" s="44" t="s">
        <v>437</v>
      </c>
      <c r="E44" s="44" t="s">
        <v>620</v>
      </c>
      <c r="F44" s="44" t="s">
        <v>621</v>
      </c>
      <c r="G44" s="46">
        <v>36.013309</v>
      </c>
      <c r="H44" s="46">
        <v>127.758618</v>
      </c>
      <c r="I44" s="47" t="str">
        <f t="shared" si="1"/>
        <v/>
      </c>
      <c r="J44" s="48">
        <f t="shared" si="2"/>
        <v>0</v>
      </c>
      <c r="K44" s="48" t="str">
        <f>IFERROR(__xludf.DUMMYFUNCTION("REGEXREPLACE(
  INDEX(
    $S$1:$BK$1,
    MATCH(
      MAX(
        MAP($T44:$BI44,$V44:$BK44,LAMBDA(a,c,IF(a=$I44,c)))
      ),
      MAP($T44:$BI44,$V44:$BK44,LAMBDA(a,c,IF(a=$I44,c))),
      0
    )
  ),
  ""^\d+_"",
  """"
)"),"#N/A")</f>
        <v>#N/A</v>
      </c>
      <c r="L44" s="48" t="str">
        <f t="shared" si="3"/>
        <v>#N/A</v>
      </c>
      <c r="M44" s="48" t="str">
        <f t="shared" si="4"/>
        <v>#N/A</v>
      </c>
      <c r="N44" s="47" t="str">
        <f t="shared" si="5"/>
        <v/>
      </c>
      <c r="O44" s="47">
        <f t="shared" si="6"/>
        <v>0</v>
      </c>
      <c r="P44" s="47" t="str">
        <f>IFERROR(__xludf.DUMMYFUNCTION("REGEXREPLACE(
  INDEX(
    {$S$1:$AQ$1,$AW$1:$BF$1},
    MATCH(
      MAX({
        MAP($T44:$AO44,$V44:$AQ44,LAMBDA(a,c,IF(a=$N44,c))),
        MAP($AX44:$BD44,$AZ44:$BF44,LAMBDA(a,c,IF(a=$N44,c)))
      }),
      {
        MAP($T44:$AO44,$V44:$AQ44,LAMB"&amp;"DA(a,c,IF(a=$N44,c))),
        MAP($AX44:$BD44,$AZ44:$BF44,LAMBDA(a,c,IF(a=$N44,c)))
      },
      0
    )
  ),
  ""^\d+_"",
  """"
)"),"#N/A")</f>
        <v>#N/A</v>
      </c>
      <c r="Q44" s="47" t="str">
        <f t="shared" si="7"/>
        <v>#N/A</v>
      </c>
      <c r="R44" s="47" t="str">
        <f t="shared" si="8"/>
        <v>#N/A</v>
      </c>
      <c r="S44" s="47" t="s">
        <v>622</v>
      </c>
      <c r="T44" s="48"/>
      <c r="U44" s="48"/>
      <c r="V44" s="48"/>
      <c r="W44" s="48"/>
      <c r="X44" s="47" t="s">
        <v>623</v>
      </c>
      <c r="Y44" s="48"/>
      <c r="Z44" s="48"/>
      <c r="AA44" s="48"/>
      <c r="AB44" s="48"/>
      <c r="AC44" s="47" t="s">
        <v>624</v>
      </c>
      <c r="AD44" s="48"/>
      <c r="AE44" s="48"/>
      <c r="AF44" s="48"/>
      <c r="AG44" s="48"/>
      <c r="AH44" s="47" t="s">
        <v>625</v>
      </c>
      <c r="AI44" s="48"/>
      <c r="AJ44" s="48"/>
      <c r="AK44" s="48"/>
      <c r="AL44" s="48"/>
      <c r="AM44" s="47" t="s">
        <v>626</v>
      </c>
      <c r="AN44" s="48"/>
      <c r="AO44" s="48"/>
      <c r="AP44" s="48"/>
      <c r="AQ44" s="48"/>
      <c r="AR44" s="47" t="s">
        <v>627</v>
      </c>
      <c r="AS44" s="48"/>
      <c r="AT44" s="48"/>
      <c r="AU44" s="48"/>
      <c r="AV44" s="48"/>
      <c r="AW44" s="47" t="s">
        <v>628</v>
      </c>
      <c r="AX44" s="48"/>
      <c r="AY44" s="48"/>
      <c r="AZ44" s="48"/>
      <c r="BA44" s="48"/>
      <c r="BB44" s="47" t="s">
        <v>629</v>
      </c>
      <c r="BC44" s="48"/>
      <c r="BD44" s="48"/>
      <c r="BE44" s="48"/>
      <c r="BF44" s="48"/>
      <c r="BG44" s="47" t="s">
        <v>630</v>
      </c>
      <c r="BH44" s="48"/>
      <c r="BI44" s="48"/>
      <c r="BJ44" s="48"/>
      <c r="BK44" s="48"/>
      <c r="BL44" s="47" t="s">
        <v>631</v>
      </c>
      <c r="BM44" s="48"/>
      <c r="BN44" s="48"/>
      <c r="BO44" s="48"/>
    </row>
    <row r="45" ht="26.25" customHeight="1">
      <c r="A45" s="44">
        <v>1067.0</v>
      </c>
      <c r="B45" s="45" t="s">
        <v>632</v>
      </c>
      <c r="C45" s="44" t="s">
        <v>96</v>
      </c>
      <c r="D45" s="44" t="s">
        <v>437</v>
      </c>
      <c r="E45" s="44" t="s">
        <v>633</v>
      </c>
      <c r="F45" s="44" t="s">
        <v>634</v>
      </c>
      <c r="G45" s="46">
        <v>35.826964</v>
      </c>
      <c r="H45" s="46">
        <v>127.63856</v>
      </c>
      <c r="I45" s="47" t="str">
        <f t="shared" si="1"/>
        <v/>
      </c>
      <c r="J45" s="48">
        <f t="shared" si="2"/>
        <v>0</v>
      </c>
      <c r="K45" s="48" t="str">
        <f>IFERROR(__xludf.DUMMYFUNCTION("REGEXREPLACE(
  INDEX(
    $S$1:$BK$1,
    MATCH(
      MAX(
        MAP($T45:$BI45,$V45:$BK45,LAMBDA(a,c,IF(a=$I45,c)))
      ),
      MAP($T45:$BI45,$V45:$BK45,LAMBDA(a,c,IF(a=$I45,c))),
      0
    )
  ),
  ""^\d+_"",
  """"
)"),"#N/A")</f>
        <v>#N/A</v>
      </c>
      <c r="L45" s="48" t="str">
        <f t="shared" si="3"/>
        <v>#N/A</v>
      </c>
      <c r="M45" s="48" t="str">
        <f t="shared" si="4"/>
        <v>#N/A</v>
      </c>
      <c r="N45" s="47" t="str">
        <f t="shared" si="5"/>
        <v/>
      </c>
      <c r="O45" s="47">
        <f t="shared" si="6"/>
        <v>0</v>
      </c>
      <c r="P45" s="47" t="str">
        <f>IFERROR(__xludf.DUMMYFUNCTION("REGEXREPLACE(
  INDEX(
    {$S$1:$AQ$1,$AW$1:$BF$1},
    MATCH(
      MAX({
        MAP($T45:$AO45,$V45:$AQ45,LAMBDA(a,c,IF(a=$N45,c))),
        MAP($AX45:$BD45,$AZ45:$BF45,LAMBDA(a,c,IF(a=$N45,c)))
      }),
      {
        MAP($T45:$AO45,$V45:$AQ45,LAMB"&amp;"DA(a,c,IF(a=$N45,c))),
        MAP($AX45:$BD45,$AZ45:$BF45,LAMBDA(a,c,IF(a=$N45,c)))
      },
      0
    )
  ),
  ""^\d+_"",
  """"
)"),"#N/A")</f>
        <v>#N/A</v>
      </c>
      <c r="Q45" s="47" t="str">
        <f t="shared" si="7"/>
        <v>#N/A</v>
      </c>
      <c r="R45" s="47" t="str">
        <f t="shared" si="8"/>
        <v>#N/A</v>
      </c>
      <c r="S45" s="47" t="s">
        <v>635</v>
      </c>
      <c r="T45" s="48"/>
      <c r="U45" s="48"/>
      <c r="V45" s="48"/>
      <c r="W45" s="48"/>
      <c r="X45" s="47" t="s">
        <v>636</v>
      </c>
      <c r="Y45" s="48"/>
      <c r="Z45" s="48"/>
      <c r="AA45" s="48"/>
      <c r="AB45" s="48"/>
      <c r="AC45" s="47" t="s">
        <v>637</v>
      </c>
      <c r="AD45" s="48"/>
      <c r="AE45" s="48"/>
      <c r="AF45" s="48"/>
      <c r="AG45" s="48"/>
      <c r="AH45" s="47" t="s">
        <v>638</v>
      </c>
      <c r="AI45" s="48"/>
      <c r="AJ45" s="48"/>
      <c r="AK45" s="48"/>
      <c r="AL45" s="48"/>
      <c r="AM45" s="47" t="s">
        <v>639</v>
      </c>
      <c r="AN45" s="48"/>
      <c r="AO45" s="48"/>
      <c r="AP45" s="48"/>
      <c r="AQ45" s="48"/>
      <c r="AR45" s="47" t="s">
        <v>640</v>
      </c>
      <c r="AS45" s="48"/>
      <c r="AT45" s="48"/>
      <c r="AU45" s="48"/>
      <c r="AV45" s="48"/>
      <c r="AW45" s="47" t="s">
        <v>641</v>
      </c>
      <c r="AX45" s="48"/>
      <c r="AY45" s="48"/>
      <c r="AZ45" s="48"/>
      <c r="BA45" s="48"/>
      <c r="BB45" s="47" t="s">
        <v>642</v>
      </c>
      <c r="BC45" s="48"/>
      <c r="BD45" s="48"/>
      <c r="BE45" s="48"/>
      <c r="BF45" s="48"/>
      <c r="BG45" s="47" t="s">
        <v>643</v>
      </c>
      <c r="BH45" s="48"/>
      <c r="BI45" s="48"/>
      <c r="BJ45" s="48"/>
      <c r="BK45" s="48"/>
      <c r="BL45" s="47" t="s">
        <v>644</v>
      </c>
      <c r="BM45" s="48"/>
      <c r="BN45" s="48"/>
      <c r="BO45" s="48"/>
    </row>
    <row r="46" ht="26.25" customHeight="1">
      <c r="A46" s="44">
        <v>1068.0</v>
      </c>
      <c r="B46" s="45" t="s">
        <v>645</v>
      </c>
      <c r="C46" s="44" t="s">
        <v>96</v>
      </c>
      <c r="D46" s="44" t="s">
        <v>437</v>
      </c>
      <c r="E46" s="44" t="s">
        <v>646</v>
      </c>
      <c r="F46" s="44" t="s">
        <v>647</v>
      </c>
      <c r="G46" s="46">
        <v>35.860071</v>
      </c>
      <c r="H46" s="46">
        <v>127.679475</v>
      </c>
      <c r="I46" s="47" t="str">
        <f t="shared" si="1"/>
        <v/>
      </c>
      <c r="J46" s="48">
        <f t="shared" si="2"/>
        <v>0</v>
      </c>
      <c r="K46" s="48" t="str">
        <f>IFERROR(__xludf.DUMMYFUNCTION("REGEXREPLACE(
  INDEX(
    $S$1:$BK$1,
    MATCH(
      MAX(
        MAP($T46:$BI46,$V46:$BK46,LAMBDA(a,c,IF(a=$I46,c)))
      ),
      MAP($T46:$BI46,$V46:$BK46,LAMBDA(a,c,IF(a=$I46,c))),
      0
    )
  ),
  ""^\d+_"",
  """"
)"),"#N/A")</f>
        <v>#N/A</v>
      </c>
      <c r="L46" s="48" t="str">
        <f t="shared" si="3"/>
        <v>#N/A</v>
      </c>
      <c r="M46" s="48" t="str">
        <f t="shared" si="4"/>
        <v>#N/A</v>
      </c>
      <c r="N46" s="47" t="str">
        <f t="shared" si="5"/>
        <v/>
      </c>
      <c r="O46" s="47">
        <f t="shared" si="6"/>
        <v>0</v>
      </c>
      <c r="P46" s="47" t="str">
        <f>IFERROR(__xludf.DUMMYFUNCTION("REGEXREPLACE(
  INDEX(
    {$S$1:$AQ$1,$AW$1:$BF$1},
    MATCH(
      MAX({
        MAP($T46:$AO46,$V46:$AQ46,LAMBDA(a,c,IF(a=$N46,c))),
        MAP($AX46:$BD46,$AZ46:$BF46,LAMBDA(a,c,IF(a=$N46,c)))
      }),
      {
        MAP($T46:$AO46,$V46:$AQ46,LAMB"&amp;"DA(a,c,IF(a=$N46,c))),
        MAP($AX46:$BD46,$AZ46:$BF46,LAMBDA(a,c,IF(a=$N46,c)))
      },
      0
    )
  ),
  ""^\d+_"",
  """"
)"),"#N/A")</f>
        <v>#N/A</v>
      </c>
      <c r="Q46" s="47" t="str">
        <f t="shared" si="7"/>
        <v>#N/A</v>
      </c>
      <c r="R46" s="47" t="str">
        <f t="shared" si="8"/>
        <v>#N/A</v>
      </c>
      <c r="S46" s="47" t="s">
        <v>648</v>
      </c>
      <c r="T46" s="48"/>
      <c r="U46" s="48"/>
      <c r="V46" s="48"/>
      <c r="W46" s="48"/>
      <c r="X46" s="47" t="s">
        <v>649</v>
      </c>
      <c r="Y46" s="48"/>
      <c r="Z46" s="48"/>
      <c r="AA46" s="48"/>
      <c r="AB46" s="48"/>
      <c r="AC46" s="47" t="s">
        <v>650</v>
      </c>
      <c r="AD46" s="48"/>
      <c r="AE46" s="48"/>
      <c r="AF46" s="48"/>
      <c r="AG46" s="48"/>
      <c r="AH46" s="47" t="s">
        <v>651</v>
      </c>
      <c r="AI46" s="48"/>
      <c r="AJ46" s="48"/>
      <c r="AK46" s="48"/>
      <c r="AL46" s="48"/>
      <c r="AM46" s="47" t="s">
        <v>652</v>
      </c>
      <c r="AN46" s="48"/>
      <c r="AO46" s="48"/>
      <c r="AP46" s="48"/>
      <c r="AQ46" s="48"/>
      <c r="AR46" s="47" t="s">
        <v>653</v>
      </c>
      <c r="AS46" s="48"/>
      <c r="AT46" s="48"/>
      <c r="AU46" s="48"/>
      <c r="AV46" s="48"/>
      <c r="AW46" s="47" t="s">
        <v>654</v>
      </c>
      <c r="AX46" s="48"/>
      <c r="AY46" s="48"/>
      <c r="AZ46" s="48"/>
      <c r="BA46" s="48"/>
      <c r="BB46" s="47" t="s">
        <v>655</v>
      </c>
      <c r="BC46" s="48"/>
      <c r="BD46" s="48"/>
      <c r="BE46" s="48"/>
      <c r="BF46" s="48"/>
      <c r="BG46" s="47" t="s">
        <v>656</v>
      </c>
      <c r="BH46" s="48"/>
      <c r="BI46" s="48"/>
      <c r="BJ46" s="48"/>
      <c r="BK46" s="48"/>
      <c r="BL46" s="47" t="s">
        <v>657</v>
      </c>
      <c r="BM46" s="48"/>
      <c r="BN46" s="48"/>
      <c r="BO46" s="48"/>
    </row>
    <row r="47" ht="26.25" customHeight="1">
      <c r="A47" s="44">
        <v>1069.0</v>
      </c>
      <c r="B47" s="45" t="s">
        <v>658</v>
      </c>
      <c r="C47" s="44" t="s">
        <v>96</v>
      </c>
      <c r="D47" s="44" t="s">
        <v>437</v>
      </c>
      <c r="E47" s="44" t="s">
        <v>659</v>
      </c>
      <c r="F47" s="44" t="s">
        <v>660</v>
      </c>
      <c r="G47" s="46">
        <v>35.97480018</v>
      </c>
      <c r="H47" s="46">
        <v>127.690932</v>
      </c>
      <c r="I47" s="47" t="str">
        <f t="shared" si="1"/>
        <v/>
      </c>
      <c r="J47" s="48">
        <f t="shared" si="2"/>
        <v>0</v>
      </c>
      <c r="K47" s="48" t="str">
        <f>IFERROR(__xludf.DUMMYFUNCTION("REGEXREPLACE(
  INDEX(
    $S$1:$BK$1,
    MATCH(
      MAX(
        MAP($T47:$BI47,$V47:$BK47,LAMBDA(a,c,IF(a=$I47,c)))
      ),
      MAP($T47:$BI47,$V47:$BK47,LAMBDA(a,c,IF(a=$I47,c))),
      0
    )
  ),
  ""^\d+_"",
  """"
)"),"#N/A")</f>
        <v>#N/A</v>
      </c>
      <c r="L47" s="48" t="str">
        <f t="shared" si="3"/>
        <v>#N/A</v>
      </c>
      <c r="M47" s="48" t="str">
        <f t="shared" si="4"/>
        <v>#N/A</v>
      </c>
      <c r="N47" s="47" t="str">
        <f t="shared" si="5"/>
        <v/>
      </c>
      <c r="O47" s="47">
        <f t="shared" si="6"/>
        <v>0</v>
      </c>
      <c r="P47" s="47" t="str">
        <f>IFERROR(__xludf.DUMMYFUNCTION("REGEXREPLACE(
  INDEX(
    {$S$1:$AQ$1,$AW$1:$BF$1},
    MATCH(
      MAX({
        MAP($T47:$AO47,$V47:$AQ47,LAMBDA(a,c,IF(a=$N47,c))),
        MAP($AX47:$BD47,$AZ47:$BF47,LAMBDA(a,c,IF(a=$N47,c)))
      }),
      {
        MAP($T47:$AO47,$V47:$AQ47,LAMB"&amp;"DA(a,c,IF(a=$N47,c))),
        MAP($AX47:$BD47,$AZ47:$BF47,LAMBDA(a,c,IF(a=$N47,c)))
      },
      0
    )
  ),
  ""^\d+_"",
  """"
)"),"#N/A")</f>
        <v>#N/A</v>
      </c>
      <c r="Q47" s="47" t="str">
        <f t="shared" si="7"/>
        <v>#N/A</v>
      </c>
      <c r="R47" s="47" t="str">
        <f t="shared" si="8"/>
        <v>#N/A</v>
      </c>
      <c r="S47" s="47" t="s">
        <v>661</v>
      </c>
      <c r="T47" s="48"/>
      <c r="U47" s="48"/>
      <c r="V47" s="48"/>
      <c r="W47" s="48"/>
      <c r="X47" s="47" t="s">
        <v>662</v>
      </c>
      <c r="Y47" s="48"/>
      <c r="Z47" s="48"/>
      <c r="AA47" s="48"/>
      <c r="AB47" s="48"/>
      <c r="AC47" s="47" t="s">
        <v>663</v>
      </c>
      <c r="AD47" s="48"/>
      <c r="AE47" s="48"/>
      <c r="AF47" s="48"/>
      <c r="AG47" s="48"/>
      <c r="AH47" s="47" t="s">
        <v>664</v>
      </c>
      <c r="AI47" s="48"/>
      <c r="AJ47" s="48"/>
      <c r="AK47" s="48"/>
      <c r="AL47" s="48"/>
      <c r="AM47" s="47" t="s">
        <v>665</v>
      </c>
      <c r="AN47" s="48"/>
      <c r="AO47" s="48"/>
      <c r="AP47" s="48"/>
      <c r="AQ47" s="48"/>
      <c r="AR47" s="47" t="s">
        <v>666</v>
      </c>
      <c r="AS47" s="48"/>
      <c r="AT47" s="48"/>
      <c r="AU47" s="48"/>
      <c r="AV47" s="48"/>
      <c r="AW47" s="47" t="s">
        <v>667</v>
      </c>
      <c r="AX47" s="48"/>
      <c r="AY47" s="48"/>
      <c r="AZ47" s="48"/>
      <c r="BA47" s="48"/>
      <c r="BB47" s="47" t="s">
        <v>668</v>
      </c>
      <c r="BC47" s="48"/>
      <c r="BD47" s="48"/>
      <c r="BE47" s="48"/>
      <c r="BF47" s="48"/>
      <c r="BG47" s="47" t="s">
        <v>669</v>
      </c>
      <c r="BH47" s="48"/>
      <c r="BI47" s="48"/>
      <c r="BJ47" s="48"/>
      <c r="BK47" s="48"/>
      <c r="BL47" s="47" t="s">
        <v>670</v>
      </c>
      <c r="BM47" s="48"/>
      <c r="BN47" s="48"/>
      <c r="BO47" s="48"/>
    </row>
    <row r="48" ht="26.25" customHeight="1">
      <c r="A48" s="44">
        <v>1070.0</v>
      </c>
      <c r="B48" s="45" t="s">
        <v>671</v>
      </c>
      <c r="C48" s="44" t="s">
        <v>96</v>
      </c>
      <c r="D48" s="44" t="s">
        <v>437</v>
      </c>
      <c r="E48" s="44" t="s">
        <v>672</v>
      </c>
      <c r="F48" s="44" t="s">
        <v>673</v>
      </c>
      <c r="G48" s="46">
        <v>35.94116</v>
      </c>
      <c r="H48" s="46">
        <v>127.657444</v>
      </c>
      <c r="I48" s="47" t="str">
        <f t="shared" si="1"/>
        <v/>
      </c>
      <c r="J48" s="48">
        <f t="shared" si="2"/>
        <v>0</v>
      </c>
      <c r="K48" s="48" t="str">
        <f>IFERROR(__xludf.DUMMYFUNCTION("REGEXREPLACE(
  INDEX(
    $S$1:$BK$1,
    MATCH(
      MAX(
        MAP($T48:$BI48,$V48:$BK48,LAMBDA(a,c,IF(a=$I48,c)))
      ),
      MAP($T48:$BI48,$V48:$BK48,LAMBDA(a,c,IF(a=$I48,c))),
      0
    )
  ),
  ""^\d+_"",
  """"
)"),"#N/A")</f>
        <v>#N/A</v>
      </c>
      <c r="L48" s="48" t="str">
        <f t="shared" si="3"/>
        <v>#N/A</v>
      </c>
      <c r="M48" s="48" t="str">
        <f t="shared" si="4"/>
        <v>#N/A</v>
      </c>
      <c r="N48" s="47" t="str">
        <f t="shared" si="5"/>
        <v/>
      </c>
      <c r="O48" s="47">
        <f t="shared" si="6"/>
        <v>0</v>
      </c>
      <c r="P48" s="47" t="str">
        <f>IFERROR(__xludf.DUMMYFUNCTION("REGEXREPLACE(
  INDEX(
    {$S$1:$AQ$1,$AW$1:$BF$1},
    MATCH(
      MAX({
        MAP($T48:$AO48,$V48:$AQ48,LAMBDA(a,c,IF(a=$N48,c))),
        MAP($AX48:$BD48,$AZ48:$BF48,LAMBDA(a,c,IF(a=$N48,c)))
      }),
      {
        MAP($T48:$AO48,$V48:$AQ48,LAMB"&amp;"DA(a,c,IF(a=$N48,c))),
        MAP($AX48:$BD48,$AZ48:$BF48,LAMBDA(a,c,IF(a=$N48,c)))
      },
      0
    )
  ),
  ""^\d+_"",
  """"
)"),"#N/A")</f>
        <v>#N/A</v>
      </c>
      <c r="Q48" s="47" t="str">
        <f t="shared" si="7"/>
        <v>#N/A</v>
      </c>
      <c r="R48" s="47" t="str">
        <f t="shared" si="8"/>
        <v>#N/A</v>
      </c>
      <c r="S48" s="47" t="s">
        <v>674</v>
      </c>
      <c r="T48" s="48"/>
      <c r="U48" s="48"/>
      <c r="V48" s="48"/>
      <c r="W48" s="48"/>
      <c r="X48" s="47" t="s">
        <v>675</v>
      </c>
      <c r="Y48" s="48"/>
      <c r="Z48" s="48"/>
      <c r="AA48" s="48"/>
      <c r="AB48" s="48"/>
      <c r="AC48" s="47" t="s">
        <v>676</v>
      </c>
      <c r="AD48" s="48"/>
      <c r="AE48" s="48"/>
      <c r="AF48" s="48"/>
      <c r="AG48" s="48"/>
      <c r="AH48" s="47" t="s">
        <v>677</v>
      </c>
      <c r="AI48" s="48"/>
      <c r="AJ48" s="48"/>
      <c r="AK48" s="48"/>
      <c r="AL48" s="48"/>
      <c r="AM48" s="47" t="s">
        <v>678</v>
      </c>
      <c r="AN48" s="48"/>
      <c r="AO48" s="48"/>
      <c r="AP48" s="48"/>
      <c r="AQ48" s="48"/>
      <c r="AR48" s="47" t="s">
        <v>679</v>
      </c>
      <c r="AS48" s="48"/>
      <c r="AT48" s="48"/>
      <c r="AU48" s="48"/>
      <c r="AV48" s="48"/>
      <c r="AW48" s="47" t="s">
        <v>680</v>
      </c>
      <c r="AX48" s="48"/>
      <c r="AY48" s="48"/>
      <c r="AZ48" s="48"/>
      <c r="BA48" s="48"/>
      <c r="BB48" s="47" t="s">
        <v>681</v>
      </c>
      <c r="BC48" s="48"/>
      <c r="BD48" s="48"/>
      <c r="BE48" s="48"/>
      <c r="BF48" s="48"/>
      <c r="BG48" s="47" t="s">
        <v>682</v>
      </c>
      <c r="BH48" s="48"/>
      <c r="BI48" s="48"/>
      <c r="BJ48" s="48"/>
      <c r="BK48" s="48"/>
      <c r="BL48" s="47" t="s">
        <v>683</v>
      </c>
      <c r="BM48" s="48"/>
      <c r="BN48" s="48"/>
      <c r="BO48" s="48"/>
    </row>
    <row r="49" ht="26.25" customHeight="1">
      <c r="A49" s="44">
        <v>1071.0</v>
      </c>
      <c r="B49" s="45" t="s">
        <v>684</v>
      </c>
      <c r="C49" s="44" t="s">
        <v>96</v>
      </c>
      <c r="D49" s="44" t="s">
        <v>685</v>
      </c>
      <c r="E49" s="44" t="s">
        <v>686</v>
      </c>
      <c r="F49" s="44" t="s">
        <v>687</v>
      </c>
      <c r="G49" s="46">
        <v>35.339643</v>
      </c>
      <c r="H49" s="46">
        <v>127.086453</v>
      </c>
      <c r="I49" s="47" t="str">
        <f t="shared" si="1"/>
        <v/>
      </c>
      <c r="J49" s="48">
        <f t="shared" si="2"/>
        <v>0</v>
      </c>
      <c r="K49" s="48" t="str">
        <f>IFERROR(__xludf.DUMMYFUNCTION("REGEXREPLACE(
  INDEX(
    $S$1:$BK$1,
    MATCH(
      MAX(
        MAP($T49:$BI49,$V49:$BK49,LAMBDA(a,c,IF(a=$I49,c)))
      ),
      MAP($T49:$BI49,$V49:$BK49,LAMBDA(a,c,IF(a=$I49,c))),
      0
    )
  ),
  ""^\d+_"",
  """"
)"),"#N/A")</f>
        <v>#N/A</v>
      </c>
      <c r="L49" s="48" t="str">
        <f t="shared" si="3"/>
        <v>#N/A</v>
      </c>
      <c r="M49" s="48" t="str">
        <f t="shared" si="4"/>
        <v>#N/A</v>
      </c>
      <c r="N49" s="47" t="str">
        <f t="shared" si="5"/>
        <v/>
      </c>
      <c r="O49" s="47">
        <f t="shared" si="6"/>
        <v>0</v>
      </c>
      <c r="P49" s="47" t="str">
        <f>IFERROR(__xludf.DUMMYFUNCTION("REGEXREPLACE(
  INDEX(
    {$S$1:$AQ$1,$AW$1:$BF$1},
    MATCH(
      MAX({
        MAP($T49:$AO49,$V49:$AQ49,LAMBDA(a,c,IF(a=$N49,c))),
        MAP($AX49:$BD49,$AZ49:$BF49,LAMBDA(a,c,IF(a=$N49,c)))
      }),
      {
        MAP($T49:$AO49,$V49:$AQ49,LAMB"&amp;"DA(a,c,IF(a=$N49,c))),
        MAP($AX49:$BD49,$AZ49:$BF49,LAMBDA(a,c,IF(a=$N49,c)))
      },
      0
    )
  ),
  ""^\d+_"",
  """"
)"),"#N/A")</f>
        <v>#N/A</v>
      </c>
      <c r="Q49" s="47" t="str">
        <f t="shared" si="7"/>
        <v>#N/A</v>
      </c>
      <c r="R49" s="47" t="str">
        <f t="shared" si="8"/>
        <v>#N/A</v>
      </c>
      <c r="S49" s="47" t="s">
        <v>688</v>
      </c>
      <c r="T49" s="48"/>
      <c r="U49" s="48"/>
      <c r="V49" s="48"/>
      <c r="W49" s="48"/>
      <c r="X49" s="47" t="s">
        <v>689</v>
      </c>
      <c r="Y49" s="48"/>
      <c r="Z49" s="48"/>
      <c r="AA49" s="48"/>
      <c r="AB49" s="48"/>
      <c r="AC49" s="47" t="s">
        <v>690</v>
      </c>
      <c r="AD49" s="48"/>
      <c r="AE49" s="48"/>
      <c r="AF49" s="48"/>
      <c r="AG49" s="48"/>
      <c r="AH49" s="47" t="s">
        <v>691</v>
      </c>
      <c r="AI49" s="48"/>
      <c r="AJ49" s="48"/>
      <c r="AK49" s="48"/>
      <c r="AL49" s="48"/>
      <c r="AM49" s="47" t="s">
        <v>692</v>
      </c>
      <c r="AN49" s="48"/>
      <c r="AO49" s="48"/>
      <c r="AP49" s="48"/>
      <c r="AQ49" s="48"/>
      <c r="AR49" s="47" t="s">
        <v>693</v>
      </c>
      <c r="AS49" s="48"/>
      <c r="AT49" s="48"/>
      <c r="AU49" s="48"/>
      <c r="AV49" s="48"/>
      <c r="AW49" s="47" t="s">
        <v>694</v>
      </c>
      <c r="AX49" s="48"/>
      <c r="AY49" s="48"/>
      <c r="AZ49" s="48"/>
      <c r="BA49" s="48"/>
      <c r="BB49" s="47" t="s">
        <v>695</v>
      </c>
      <c r="BC49" s="48"/>
      <c r="BD49" s="48"/>
      <c r="BE49" s="48"/>
      <c r="BF49" s="48"/>
      <c r="BG49" s="47" t="s">
        <v>696</v>
      </c>
      <c r="BH49" s="48"/>
      <c r="BI49" s="48"/>
      <c r="BJ49" s="48"/>
      <c r="BK49" s="48"/>
      <c r="BL49" s="47" t="s">
        <v>697</v>
      </c>
      <c r="BM49" s="48"/>
      <c r="BN49" s="48"/>
      <c r="BO49" s="48"/>
    </row>
    <row r="50" ht="26.25" customHeight="1">
      <c r="A50" s="44">
        <v>1072.0</v>
      </c>
      <c r="B50" s="45" t="s">
        <v>698</v>
      </c>
      <c r="C50" s="44" t="s">
        <v>96</v>
      </c>
      <c r="D50" s="44" t="s">
        <v>685</v>
      </c>
      <c r="E50" s="44" t="s">
        <v>699</v>
      </c>
      <c r="F50" s="44" t="s">
        <v>700</v>
      </c>
      <c r="G50" s="46">
        <v>35.359456</v>
      </c>
      <c r="H50" s="46">
        <v>127.185498</v>
      </c>
      <c r="I50" s="47" t="str">
        <f t="shared" si="1"/>
        <v/>
      </c>
      <c r="J50" s="48">
        <f t="shared" si="2"/>
        <v>0</v>
      </c>
      <c r="K50" s="48" t="str">
        <f>IFERROR(__xludf.DUMMYFUNCTION("REGEXREPLACE(
  INDEX(
    $S$1:$BK$1,
    MATCH(
      MAX(
        MAP($T50:$BI50,$V50:$BK50,LAMBDA(a,c,IF(a=$I50,c)))
      ),
      MAP($T50:$BI50,$V50:$BK50,LAMBDA(a,c,IF(a=$I50,c))),
      0
    )
  ),
  ""^\d+_"",
  """"
)"),"#N/A")</f>
        <v>#N/A</v>
      </c>
      <c r="L50" s="48" t="str">
        <f t="shared" si="3"/>
        <v>#N/A</v>
      </c>
      <c r="M50" s="48" t="str">
        <f t="shared" si="4"/>
        <v>#N/A</v>
      </c>
      <c r="N50" s="47" t="str">
        <f t="shared" si="5"/>
        <v/>
      </c>
      <c r="O50" s="47">
        <f t="shared" si="6"/>
        <v>0</v>
      </c>
      <c r="P50" s="47" t="str">
        <f>IFERROR(__xludf.DUMMYFUNCTION("REGEXREPLACE(
  INDEX(
    {$S$1:$AQ$1,$AW$1:$BF$1},
    MATCH(
      MAX({
        MAP($T50:$AO50,$V50:$AQ50,LAMBDA(a,c,IF(a=$N50,c))),
        MAP($AX50:$BD50,$AZ50:$BF50,LAMBDA(a,c,IF(a=$N50,c)))
      }),
      {
        MAP($T50:$AO50,$V50:$AQ50,LAMB"&amp;"DA(a,c,IF(a=$N50,c))),
        MAP($AX50:$BD50,$AZ50:$BF50,LAMBDA(a,c,IF(a=$N50,c)))
      },
      0
    )
  ),
  ""^\d+_"",
  """"
)"),"#N/A")</f>
        <v>#N/A</v>
      </c>
      <c r="Q50" s="47" t="str">
        <f t="shared" si="7"/>
        <v>#N/A</v>
      </c>
      <c r="R50" s="47" t="str">
        <f t="shared" si="8"/>
        <v>#N/A</v>
      </c>
      <c r="S50" s="47" t="s">
        <v>701</v>
      </c>
      <c r="T50" s="48"/>
      <c r="U50" s="48"/>
      <c r="V50" s="48"/>
      <c r="W50" s="48"/>
      <c r="X50" s="47" t="s">
        <v>702</v>
      </c>
      <c r="Y50" s="48"/>
      <c r="Z50" s="48"/>
      <c r="AA50" s="48"/>
      <c r="AB50" s="48"/>
      <c r="AC50" s="47" t="s">
        <v>703</v>
      </c>
      <c r="AD50" s="48"/>
      <c r="AE50" s="48"/>
      <c r="AF50" s="48"/>
      <c r="AG50" s="48"/>
      <c r="AH50" s="47" t="s">
        <v>704</v>
      </c>
      <c r="AI50" s="48"/>
      <c r="AJ50" s="48"/>
      <c r="AK50" s="48"/>
      <c r="AL50" s="48"/>
      <c r="AM50" s="47" t="s">
        <v>705</v>
      </c>
      <c r="AN50" s="48"/>
      <c r="AO50" s="48"/>
      <c r="AP50" s="48"/>
      <c r="AQ50" s="48"/>
      <c r="AR50" s="47" t="s">
        <v>706</v>
      </c>
      <c r="AS50" s="48"/>
      <c r="AT50" s="48"/>
      <c r="AU50" s="48"/>
      <c r="AV50" s="48"/>
      <c r="AW50" s="47" t="s">
        <v>707</v>
      </c>
      <c r="AX50" s="48"/>
      <c r="AY50" s="48"/>
      <c r="AZ50" s="48"/>
      <c r="BA50" s="48"/>
      <c r="BB50" s="47" t="s">
        <v>708</v>
      </c>
      <c r="BC50" s="48"/>
      <c r="BD50" s="48"/>
      <c r="BE50" s="48"/>
      <c r="BF50" s="48"/>
      <c r="BG50" s="47" t="s">
        <v>709</v>
      </c>
      <c r="BH50" s="48"/>
      <c r="BI50" s="48"/>
      <c r="BJ50" s="48"/>
      <c r="BK50" s="48"/>
      <c r="BL50" s="47" t="s">
        <v>710</v>
      </c>
      <c r="BM50" s="48"/>
      <c r="BN50" s="48"/>
      <c r="BO50" s="48"/>
    </row>
    <row r="51" ht="26.25" customHeight="1">
      <c r="A51" s="44">
        <v>1073.0</v>
      </c>
      <c r="B51" s="45" t="s">
        <v>711</v>
      </c>
      <c r="C51" s="44" t="s">
        <v>96</v>
      </c>
      <c r="D51" s="44" t="s">
        <v>712</v>
      </c>
      <c r="E51" s="44" t="s">
        <v>713</v>
      </c>
      <c r="F51" s="44" t="s">
        <v>714</v>
      </c>
      <c r="G51" s="46">
        <v>35.66762279</v>
      </c>
      <c r="H51" s="46">
        <v>127.5948449</v>
      </c>
      <c r="I51" s="47" t="str">
        <f t="shared" si="1"/>
        <v/>
      </c>
      <c r="J51" s="48">
        <f t="shared" si="2"/>
        <v>0</v>
      </c>
      <c r="K51" s="48" t="str">
        <f>IFERROR(__xludf.DUMMYFUNCTION("REGEXREPLACE(
  INDEX(
    $S$1:$BK$1,
    MATCH(
      MAX(
        MAP($T51:$BI51,$V51:$BK51,LAMBDA(a,c,IF(a=$I51,c)))
      ),
      MAP($T51:$BI51,$V51:$BK51,LAMBDA(a,c,IF(a=$I51,c))),
      0
    )
  ),
  ""^\d+_"",
  """"
)"),"#N/A")</f>
        <v>#N/A</v>
      </c>
      <c r="L51" s="48" t="str">
        <f t="shared" si="3"/>
        <v>#N/A</v>
      </c>
      <c r="M51" s="48" t="str">
        <f t="shared" si="4"/>
        <v>#N/A</v>
      </c>
      <c r="N51" s="47" t="str">
        <f t="shared" si="5"/>
        <v/>
      </c>
      <c r="O51" s="47">
        <f t="shared" si="6"/>
        <v>0</v>
      </c>
      <c r="P51" s="47" t="str">
        <f>IFERROR(__xludf.DUMMYFUNCTION("REGEXREPLACE(
  INDEX(
    {$S$1:$AQ$1,$AW$1:$BF$1},
    MATCH(
      MAX({
        MAP($T51:$AO51,$V51:$AQ51,LAMBDA(a,c,IF(a=$N51,c))),
        MAP($AX51:$BD51,$AZ51:$BF51,LAMBDA(a,c,IF(a=$N51,c)))
      }),
      {
        MAP($T51:$AO51,$V51:$AQ51,LAMB"&amp;"DA(a,c,IF(a=$N51,c))),
        MAP($AX51:$BD51,$AZ51:$BF51,LAMBDA(a,c,IF(a=$N51,c)))
      },
      0
    )
  ),
  ""^\d+_"",
  """"
)"),"#N/A")</f>
        <v>#N/A</v>
      </c>
      <c r="Q51" s="47" t="str">
        <f t="shared" si="7"/>
        <v>#N/A</v>
      </c>
      <c r="R51" s="47" t="str">
        <f t="shared" si="8"/>
        <v>#N/A</v>
      </c>
      <c r="S51" s="47" t="s">
        <v>715</v>
      </c>
      <c r="T51" s="48"/>
      <c r="U51" s="48"/>
      <c r="V51" s="48"/>
      <c r="W51" s="48"/>
      <c r="X51" s="47" t="s">
        <v>716</v>
      </c>
      <c r="Y51" s="48"/>
      <c r="Z51" s="48"/>
      <c r="AA51" s="48"/>
      <c r="AB51" s="48"/>
      <c r="AC51" s="47" t="s">
        <v>717</v>
      </c>
      <c r="AD51" s="48"/>
      <c r="AE51" s="48"/>
      <c r="AF51" s="48"/>
      <c r="AG51" s="48"/>
      <c r="AH51" s="47" t="s">
        <v>718</v>
      </c>
      <c r="AI51" s="48"/>
      <c r="AJ51" s="48"/>
      <c r="AK51" s="48"/>
      <c r="AL51" s="48"/>
      <c r="AM51" s="47" t="s">
        <v>719</v>
      </c>
      <c r="AN51" s="48"/>
      <c r="AO51" s="48"/>
      <c r="AP51" s="48"/>
      <c r="AQ51" s="48"/>
      <c r="AR51" s="47" t="s">
        <v>720</v>
      </c>
      <c r="AS51" s="48"/>
      <c r="AT51" s="48"/>
      <c r="AU51" s="48"/>
      <c r="AV51" s="48"/>
      <c r="AW51" s="47" t="s">
        <v>721</v>
      </c>
      <c r="AX51" s="48"/>
      <c r="AY51" s="48"/>
      <c r="AZ51" s="48"/>
      <c r="BA51" s="48"/>
      <c r="BB51" s="47" t="s">
        <v>722</v>
      </c>
      <c r="BC51" s="48"/>
      <c r="BD51" s="48"/>
      <c r="BE51" s="48"/>
      <c r="BF51" s="48"/>
      <c r="BG51" s="47" t="s">
        <v>723</v>
      </c>
      <c r="BH51" s="48"/>
      <c r="BI51" s="48"/>
      <c r="BJ51" s="48"/>
      <c r="BK51" s="48"/>
      <c r="BL51" s="47" t="s">
        <v>724</v>
      </c>
      <c r="BM51" s="48"/>
      <c r="BN51" s="48"/>
      <c r="BO51" s="48"/>
    </row>
    <row r="52" ht="26.25" customHeight="1">
      <c r="A52" s="44">
        <v>1074.0</v>
      </c>
      <c r="B52" s="45" t="s">
        <v>725</v>
      </c>
      <c r="C52" s="44" t="s">
        <v>96</v>
      </c>
      <c r="D52" s="44" t="s">
        <v>712</v>
      </c>
      <c r="E52" s="44" t="s">
        <v>726</v>
      </c>
      <c r="F52" s="44" t="s">
        <v>727</v>
      </c>
      <c r="G52" s="46">
        <v>35.71776146</v>
      </c>
      <c r="H52" s="46">
        <v>127.5849754</v>
      </c>
      <c r="I52" s="47" t="str">
        <f t="shared" si="1"/>
        <v/>
      </c>
      <c r="J52" s="48">
        <f t="shared" si="2"/>
        <v>0</v>
      </c>
      <c r="K52" s="48" t="str">
        <f>IFERROR(__xludf.DUMMYFUNCTION("REGEXREPLACE(
  INDEX(
    $S$1:$BK$1,
    MATCH(
      MAX(
        MAP($T52:$BI52,$V52:$BK52,LAMBDA(a,c,IF(a=$I52,c)))
      ),
      MAP($T52:$BI52,$V52:$BK52,LAMBDA(a,c,IF(a=$I52,c))),
      0
    )
  ),
  ""^\d+_"",
  """"
)"),"#N/A")</f>
        <v>#N/A</v>
      </c>
      <c r="L52" s="48" t="str">
        <f t="shared" si="3"/>
        <v>#N/A</v>
      </c>
      <c r="M52" s="48" t="str">
        <f t="shared" si="4"/>
        <v>#N/A</v>
      </c>
      <c r="N52" s="47" t="str">
        <f t="shared" si="5"/>
        <v/>
      </c>
      <c r="O52" s="47">
        <f t="shared" si="6"/>
        <v>0</v>
      </c>
      <c r="P52" s="47" t="str">
        <f>IFERROR(__xludf.DUMMYFUNCTION("REGEXREPLACE(
  INDEX(
    {$S$1:$AQ$1,$AW$1:$BF$1},
    MATCH(
      MAX({
        MAP($T52:$AO52,$V52:$AQ52,LAMBDA(a,c,IF(a=$N52,c))),
        MAP($AX52:$BD52,$AZ52:$BF52,LAMBDA(a,c,IF(a=$N52,c)))
      }),
      {
        MAP($T52:$AO52,$V52:$AQ52,LAMB"&amp;"DA(a,c,IF(a=$N52,c))),
        MAP($AX52:$BD52,$AZ52:$BF52,LAMBDA(a,c,IF(a=$N52,c)))
      },
      0
    )
  ),
  ""^\d+_"",
  """"
)"),"#N/A")</f>
        <v>#N/A</v>
      </c>
      <c r="Q52" s="47" t="str">
        <f t="shared" si="7"/>
        <v>#N/A</v>
      </c>
      <c r="R52" s="47" t="str">
        <f t="shared" si="8"/>
        <v>#N/A</v>
      </c>
      <c r="S52" s="47" t="s">
        <v>728</v>
      </c>
      <c r="T52" s="48"/>
      <c r="U52" s="48"/>
      <c r="V52" s="48"/>
      <c r="W52" s="48"/>
      <c r="X52" s="47" t="s">
        <v>729</v>
      </c>
      <c r="Y52" s="48"/>
      <c r="Z52" s="48"/>
      <c r="AA52" s="48"/>
      <c r="AB52" s="48"/>
      <c r="AC52" s="47" t="s">
        <v>730</v>
      </c>
      <c r="AD52" s="48"/>
      <c r="AE52" s="48"/>
      <c r="AF52" s="48"/>
      <c r="AG52" s="48"/>
      <c r="AH52" s="47" t="s">
        <v>731</v>
      </c>
      <c r="AI52" s="48"/>
      <c r="AJ52" s="48"/>
      <c r="AK52" s="48"/>
      <c r="AL52" s="48"/>
      <c r="AM52" s="47" t="s">
        <v>732</v>
      </c>
      <c r="AN52" s="48"/>
      <c r="AO52" s="48"/>
      <c r="AP52" s="48"/>
      <c r="AQ52" s="48"/>
      <c r="AR52" s="47" t="s">
        <v>733</v>
      </c>
      <c r="AS52" s="48"/>
      <c r="AT52" s="48"/>
      <c r="AU52" s="48"/>
      <c r="AV52" s="48"/>
      <c r="AW52" s="47" t="s">
        <v>734</v>
      </c>
      <c r="AX52" s="48"/>
      <c r="AY52" s="48"/>
      <c r="AZ52" s="48"/>
      <c r="BA52" s="48"/>
      <c r="BB52" s="47" t="s">
        <v>735</v>
      </c>
      <c r="BC52" s="48"/>
      <c r="BD52" s="48"/>
      <c r="BE52" s="48"/>
      <c r="BF52" s="48"/>
      <c r="BG52" s="47" t="s">
        <v>736</v>
      </c>
      <c r="BH52" s="48"/>
      <c r="BI52" s="48"/>
      <c r="BJ52" s="48"/>
      <c r="BK52" s="48"/>
      <c r="BL52" s="47" t="s">
        <v>737</v>
      </c>
      <c r="BM52" s="48"/>
      <c r="BN52" s="48"/>
      <c r="BO52" s="48"/>
    </row>
    <row r="53" ht="26.25" customHeight="1">
      <c r="A53" s="44">
        <v>1075.0</v>
      </c>
      <c r="B53" s="45" t="s">
        <v>738</v>
      </c>
      <c r="C53" s="44" t="s">
        <v>96</v>
      </c>
      <c r="D53" s="44" t="s">
        <v>712</v>
      </c>
      <c r="E53" s="44" t="s">
        <v>739</v>
      </c>
      <c r="F53" s="44" t="s">
        <v>740</v>
      </c>
      <c r="G53" s="46">
        <v>35.77214577</v>
      </c>
      <c r="H53" s="46">
        <v>127.620714</v>
      </c>
      <c r="I53" s="47" t="str">
        <f t="shared" si="1"/>
        <v/>
      </c>
      <c r="J53" s="48">
        <f t="shared" si="2"/>
        <v>0</v>
      </c>
      <c r="K53" s="48" t="str">
        <f>IFERROR(__xludf.DUMMYFUNCTION("REGEXREPLACE(
  INDEX(
    $S$1:$BK$1,
    MATCH(
      MAX(
        MAP($T53:$BI53,$V53:$BK53,LAMBDA(a,c,IF(a=$I53,c)))
      ),
      MAP($T53:$BI53,$V53:$BK53,LAMBDA(a,c,IF(a=$I53,c))),
      0
    )
  ),
  ""^\d+_"",
  """"
)"),"#N/A")</f>
        <v>#N/A</v>
      </c>
      <c r="L53" s="48" t="str">
        <f t="shared" si="3"/>
        <v>#N/A</v>
      </c>
      <c r="M53" s="48" t="str">
        <f t="shared" si="4"/>
        <v>#N/A</v>
      </c>
      <c r="N53" s="47" t="str">
        <f t="shared" si="5"/>
        <v/>
      </c>
      <c r="O53" s="47">
        <f t="shared" si="6"/>
        <v>0</v>
      </c>
      <c r="P53" s="47" t="str">
        <f>IFERROR(__xludf.DUMMYFUNCTION("REGEXREPLACE(
  INDEX(
    {$S$1:$AQ$1,$AW$1:$BF$1},
    MATCH(
      MAX({
        MAP($T53:$AO53,$V53:$AQ53,LAMBDA(a,c,IF(a=$N53,c))),
        MAP($AX53:$BD53,$AZ53:$BF53,LAMBDA(a,c,IF(a=$N53,c)))
      }),
      {
        MAP($T53:$AO53,$V53:$AQ53,LAMB"&amp;"DA(a,c,IF(a=$N53,c))),
        MAP($AX53:$BD53,$AZ53:$BF53,LAMBDA(a,c,IF(a=$N53,c)))
      },
      0
    )
  ),
  ""^\d+_"",
  """"
)"),"#N/A")</f>
        <v>#N/A</v>
      </c>
      <c r="Q53" s="47" t="str">
        <f t="shared" si="7"/>
        <v>#N/A</v>
      </c>
      <c r="R53" s="47" t="str">
        <f t="shared" si="8"/>
        <v>#N/A</v>
      </c>
      <c r="S53" s="47" t="s">
        <v>741</v>
      </c>
      <c r="T53" s="48"/>
      <c r="U53" s="48"/>
      <c r="V53" s="48"/>
      <c r="W53" s="48"/>
      <c r="X53" s="47" t="s">
        <v>742</v>
      </c>
      <c r="Y53" s="48"/>
      <c r="Z53" s="48"/>
      <c r="AA53" s="48"/>
      <c r="AB53" s="48"/>
      <c r="AC53" s="47" t="s">
        <v>743</v>
      </c>
      <c r="AD53" s="48"/>
      <c r="AE53" s="48"/>
      <c r="AF53" s="48"/>
      <c r="AG53" s="48"/>
      <c r="AH53" s="47" t="s">
        <v>744</v>
      </c>
      <c r="AI53" s="48"/>
      <c r="AJ53" s="48"/>
      <c r="AK53" s="48"/>
      <c r="AL53" s="48"/>
      <c r="AM53" s="47" t="s">
        <v>745</v>
      </c>
      <c r="AN53" s="48"/>
      <c r="AO53" s="48"/>
      <c r="AP53" s="48"/>
      <c r="AQ53" s="48"/>
      <c r="AR53" s="47" t="s">
        <v>746</v>
      </c>
      <c r="AS53" s="48"/>
      <c r="AT53" s="48"/>
      <c r="AU53" s="48"/>
      <c r="AV53" s="48"/>
      <c r="AW53" s="47" t="s">
        <v>747</v>
      </c>
      <c r="AX53" s="48"/>
      <c r="AY53" s="48"/>
      <c r="AZ53" s="48"/>
      <c r="BA53" s="48"/>
      <c r="BB53" s="47" t="s">
        <v>748</v>
      </c>
      <c r="BC53" s="48"/>
      <c r="BD53" s="48"/>
      <c r="BE53" s="48"/>
      <c r="BF53" s="48"/>
      <c r="BG53" s="47" t="s">
        <v>749</v>
      </c>
      <c r="BH53" s="48"/>
      <c r="BI53" s="48"/>
      <c r="BJ53" s="48"/>
      <c r="BK53" s="48"/>
      <c r="BL53" s="47" t="s">
        <v>750</v>
      </c>
      <c r="BM53" s="48"/>
      <c r="BN53" s="48"/>
      <c r="BO53" s="48"/>
    </row>
    <row r="54" ht="26.25" customHeight="1">
      <c r="A54" s="44">
        <v>1076.0</v>
      </c>
      <c r="B54" s="45" t="s">
        <v>751</v>
      </c>
      <c r="C54" s="44" t="s">
        <v>96</v>
      </c>
      <c r="D54" s="44" t="s">
        <v>712</v>
      </c>
      <c r="E54" s="44" t="s">
        <v>752</v>
      </c>
      <c r="F54" s="44" t="s">
        <v>753</v>
      </c>
      <c r="G54" s="46">
        <v>35.80029663</v>
      </c>
      <c r="H54" s="46">
        <v>127.5980824</v>
      </c>
      <c r="I54" s="47" t="str">
        <f t="shared" si="1"/>
        <v/>
      </c>
      <c r="J54" s="48">
        <f t="shared" si="2"/>
        <v>0</v>
      </c>
      <c r="K54" s="48" t="str">
        <f>IFERROR(__xludf.DUMMYFUNCTION("REGEXREPLACE(
  INDEX(
    $S$1:$BK$1,
    MATCH(
      MAX(
        MAP($T54:$BI54,$V54:$BK54,LAMBDA(a,c,IF(a=$I54,c)))
      ),
      MAP($T54:$BI54,$V54:$BK54,LAMBDA(a,c,IF(a=$I54,c))),
      0
    )
  ),
  ""^\d+_"",
  """"
)"),"#N/A")</f>
        <v>#N/A</v>
      </c>
      <c r="L54" s="48" t="str">
        <f t="shared" si="3"/>
        <v>#N/A</v>
      </c>
      <c r="M54" s="48" t="str">
        <f t="shared" si="4"/>
        <v>#N/A</v>
      </c>
      <c r="N54" s="47" t="str">
        <f t="shared" si="5"/>
        <v/>
      </c>
      <c r="O54" s="47">
        <f t="shared" si="6"/>
        <v>0</v>
      </c>
      <c r="P54" s="47" t="str">
        <f>IFERROR(__xludf.DUMMYFUNCTION("REGEXREPLACE(
  INDEX(
    {$S$1:$AQ$1,$AW$1:$BF$1},
    MATCH(
      MAX({
        MAP($T54:$AO54,$V54:$AQ54,LAMBDA(a,c,IF(a=$N54,c))),
        MAP($AX54:$BD54,$AZ54:$BF54,LAMBDA(a,c,IF(a=$N54,c)))
      }),
      {
        MAP($T54:$AO54,$V54:$AQ54,LAMB"&amp;"DA(a,c,IF(a=$N54,c))),
        MAP($AX54:$BD54,$AZ54:$BF54,LAMBDA(a,c,IF(a=$N54,c)))
      },
      0
    )
  ),
  ""^\d+_"",
  """"
)"),"#N/A")</f>
        <v>#N/A</v>
      </c>
      <c r="Q54" s="47" t="str">
        <f t="shared" si="7"/>
        <v>#N/A</v>
      </c>
      <c r="R54" s="47" t="str">
        <f t="shared" si="8"/>
        <v>#N/A</v>
      </c>
      <c r="S54" s="47" t="s">
        <v>754</v>
      </c>
      <c r="T54" s="48"/>
      <c r="U54" s="48"/>
      <c r="V54" s="48"/>
      <c r="W54" s="48"/>
      <c r="X54" s="47" t="s">
        <v>755</v>
      </c>
      <c r="Y54" s="48"/>
      <c r="Z54" s="48"/>
      <c r="AA54" s="48"/>
      <c r="AB54" s="48"/>
      <c r="AC54" s="47" t="s">
        <v>756</v>
      </c>
      <c r="AD54" s="48"/>
      <c r="AE54" s="48"/>
      <c r="AF54" s="48"/>
      <c r="AG54" s="48"/>
      <c r="AH54" s="47" t="s">
        <v>757</v>
      </c>
      <c r="AI54" s="48"/>
      <c r="AJ54" s="48"/>
      <c r="AK54" s="48"/>
      <c r="AL54" s="48"/>
      <c r="AM54" s="47" t="s">
        <v>758</v>
      </c>
      <c r="AN54" s="48"/>
      <c r="AO54" s="48"/>
      <c r="AP54" s="48"/>
      <c r="AQ54" s="48"/>
      <c r="AR54" s="47" t="s">
        <v>759</v>
      </c>
      <c r="AS54" s="48"/>
      <c r="AT54" s="48"/>
      <c r="AU54" s="48"/>
      <c r="AV54" s="48"/>
      <c r="AW54" s="47" t="s">
        <v>760</v>
      </c>
      <c r="AX54" s="48"/>
      <c r="AY54" s="48"/>
      <c r="AZ54" s="48"/>
      <c r="BA54" s="48"/>
      <c r="BB54" s="47" t="s">
        <v>761</v>
      </c>
      <c r="BC54" s="48"/>
      <c r="BD54" s="48"/>
      <c r="BE54" s="48"/>
      <c r="BF54" s="48"/>
      <c r="BG54" s="47" t="s">
        <v>762</v>
      </c>
      <c r="BH54" s="48"/>
      <c r="BI54" s="48"/>
      <c r="BJ54" s="48"/>
      <c r="BK54" s="48"/>
      <c r="BL54" s="47" t="s">
        <v>763</v>
      </c>
      <c r="BM54" s="48"/>
      <c r="BN54" s="48"/>
      <c r="BO54" s="48"/>
    </row>
    <row r="55" ht="26.25" customHeight="1">
      <c r="A55" s="44">
        <v>1077.0</v>
      </c>
      <c r="B55" s="45" t="s">
        <v>764</v>
      </c>
      <c r="C55" s="44" t="s">
        <v>96</v>
      </c>
      <c r="D55" s="44" t="s">
        <v>712</v>
      </c>
      <c r="E55" s="44" t="s">
        <v>765</v>
      </c>
      <c r="F55" s="44" t="s">
        <v>766</v>
      </c>
      <c r="G55" s="46">
        <v>35.55981131</v>
      </c>
      <c r="H55" s="46">
        <v>127.491879</v>
      </c>
      <c r="I55" s="47" t="str">
        <f t="shared" si="1"/>
        <v/>
      </c>
      <c r="J55" s="48">
        <f t="shared" si="2"/>
        <v>0</v>
      </c>
      <c r="K55" s="48" t="str">
        <f>IFERROR(__xludf.DUMMYFUNCTION("REGEXREPLACE(
  INDEX(
    $S$1:$BK$1,
    MATCH(
      MAX(
        MAP($T55:$BI55,$V55:$BK55,LAMBDA(a,c,IF(a=$I55,c)))
      ),
      MAP($T55:$BI55,$V55:$BK55,LAMBDA(a,c,IF(a=$I55,c))),
      0
    )
  ),
  ""^\d+_"",
  """"
)"),"#N/A")</f>
        <v>#N/A</v>
      </c>
      <c r="L55" s="48" t="str">
        <f t="shared" si="3"/>
        <v>#N/A</v>
      </c>
      <c r="M55" s="48" t="str">
        <f t="shared" si="4"/>
        <v>#N/A</v>
      </c>
      <c r="N55" s="47" t="str">
        <f t="shared" si="5"/>
        <v/>
      </c>
      <c r="O55" s="47">
        <f t="shared" si="6"/>
        <v>0</v>
      </c>
      <c r="P55" s="47" t="str">
        <f>IFERROR(__xludf.DUMMYFUNCTION("REGEXREPLACE(
  INDEX(
    {$S$1:$AQ$1,$AW$1:$BF$1},
    MATCH(
      MAX({
        MAP($T55:$AO55,$V55:$AQ55,LAMBDA(a,c,IF(a=$N55,c))),
        MAP($AX55:$BD55,$AZ55:$BF55,LAMBDA(a,c,IF(a=$N55,c)))
      }),
      {
        MAP($T55:$AO55,$V55:$AQ55,LAMB"&amp;"DA(a,c,IF(a=$N55,c))),
        MAP($AX55:$BD55,$AZ55:$BF55,LAMBDA(a,c,IF(a=$N55,c)))
      },
      0
    )
  ),
  ""^\d+_"",
  """"
)"),"#N/A")</f>
        <v>#N/A</v>
      </c>
      <c r="Q55" s="47" t="str">
        <f t="shared" si="7"/>
        <v>#N/A</v>
      </c>
      <c r="R55" s="47" t="str">
        <f t="shared" si="8"/>
        <v>#N/A</v>
      </c>
      <c r="S55" s="47" t="s">
        <v>767</v>
      </c>
      <c r="T55" s="48"/>
      <c r="U55" s="48"/>
      <c r="V55" s="48"/>
      <c r="W55" s="48"/>
      <c r="X55" s="47" t="s">
        <v>768</v>
      </c>
      <c r="Y55" s="48"/>
      <c r="Z55" s="48"/>
      <c r="AA55" s="48"/>
      <c r="AB55" s="48"/>
      <c r="AC55" s="47" t="s">
        <v>769</v>
      </c>
      <c r="AD55" s="48"/>
      <c r="AE55" s="48"/>
      <c r="AF55" s="48"/>
      <c r="AG55" s="48"/>
      <c r="AH55" s="47" t="s">
        <v>770</v>
      </c>
      <c r="AI55" s="48"/>
      <c r="AJ55" s="48"/>
      <c r="AK55" s="48"/>
      <c r="AL55" s="48"/>
      <c r="AM55" s="47" t="s">
        <v>771</v>
      </c>
      <c r="AN55" s="48"/>
      <c r="AO55" s="48"/>
      <c r="AP55" s="48"/>
      <c r="AQ55" s="48"/>
      <c r="AR55" s="47" t="s">
        <v>772</v>
      </c>
      <c r="AS55" s="48"/>
      <c r="AT55" s="48"/>
      <c r="AU55" s="48"/>
      <c r="AV55" s="48"/>
      <c r="AW55" s="47" t="s">
        <v>773</v>
      </c>
      <c r="AX55" s="48"/>
      <c r="AY55" s="48"/>
      <c r="AZ55" s="48"/>
      <c r="BA55" s="48"/>
      <c r="BB55" s="47" t="s">
        <v>774</v>
      </c>
      <c r="BC55" s="48"/>
      <c r="BD55" s="48"/>
      <c r="BE55" s="48"/>
      <c r="BF55" s="48"/>
      <c r="BG55" s="47" t="s">
        <v>775</v>
      </c>
      <c r="BH55" s="48"/>
      <c r="BI55" s="48"/>
      <c r="BJ55" s="48"/>
      <c r="BK55" s="48"/>
      <c r="BL55" s="47" t="s">
        <v>776</v>
      </c>
      <c r="BM55" s="48"/>
      <c r="BN55" s="48"/>
      <c r="BO55" s="48"/>
    </row>
    <row r="56" ht="26.25" customHeight="1">
      <c r="A56" s="44">
        <v>1078.0</v>
      </c>
      <c r="B56" s="45" t="s">
        <v>777</v>
      </c>
      <c r="C56" s="44" t="s">
        <v>96</v>
      </c>
      <c r="D56" s="44" t="s">
        <v>712</v>
      </c>
      <c r="E56" s="44" t="s">
        <v>778</v>
      </c>
      <c r="F56" s="44" t="s">
        <v>779</v>
      </c>
      <c r="G56" s="46">
        <v>35.532003</v>
      </c>
      <c r="H56" s="46">
        <v>127.543806</v>
      </c>
      <c r="I56" s="47" t="str">
        <f t="shared" si="1"/>
        <v/>
      </c>
      <c r="J56" s="48">
        <f t="shared" si="2"/>
        <v>0</v>
      </c>
      <c r="K56" s="48" t="str">
        <f>IFERROR(__xludf.DUMMYFUNCTION("REGEXREPLACE(
  INDEX(
    $S$1:$BK$1,
    MATCH(
      MAX(
        MAP($T56:$BI56,$V56:$BK56,LAMBDA(a,c,IF(a=$I56,c)))
      ),
      MAP($T56:$BI56,$V56:$BK56,LAMBDA(a,c,IF(a=$I56,c))),
      0
    )
  ),
  ""^\d+_"",
  """"
)"),"#N/A")</f>
        <v>#N/A</v>
      </c>
      <c r="L56" s="48" t="str">
        <f t="shared" si="3"/>
        <v>#N/A</v>
      </c>
      <c r="M56" s="48" t="str">
        <f t="shared" si="4"/>
        <v>#N/A</v>
      </c>
      <c r="N56" s="47" t="str">
        <f t="shared" si="5"/>
        <v/>
      </c>
      <c r="O56" s="47">
        <f t="shared" si="6"/>
        <v>0</v>
      </c>
      <c r="P56" s="47" t="str">
        <f>IFERROR(__xludf.DUMMYFUNCTION("REGEXREPLACE(
  INDEX(
    {$S$1:$AQ$1,$AW$1:$BF$1},
    MATCH(
      MAX({
        MAP($T56:$AO56,$V56:$AQ56,LAMBDA(a,c,IF(a=$N56,c))),
        MAP($AX56:$BD56,$AZ56:$BF56,LAMBDA(a,c,IF(a=$N56,c)))
      }),
      {
        MAP($T56:$AO56,$V56:$AQ56,LAMB"&amp;"DA(a,c,IF(a=$N56,c))),
        MAP($AX56:$BD56,$AZ56:$BF56,LAMBDA(a,c,IF(a=$N56,c)))
      },
      0
    )
  ),
  ""^\d+_"",
  """"
)"),"#N/A")</f>
        <v>#N/A</v>
      </c>
      <c r="Q56" s="47" t="str">
        <f t="shared" si="7"/>
        <v>#N/A</v>
      </c>
      <c r="R56" s="47" t="str">
        <f t="shared" si="8"/>
        <v>#N/A</v>
      </c>
      <c r="S56" s="47" t="s">
        <v>780</v>
      </c>
      <c r="T56" s="48"/>
      <c r="U56" s="48"/>
      <c r="V56" s="48"/>
      <c r="W56" s="48"/>
      <c r="X56" s="47" t="s">
        <v>781</v>
      </c>
      <c r="Y56" s="48"/>
      <c r="Z56" s="48"/>
      <c r="AA56" s="48"/>
      <c r="AB56" s="48"/>
      <c r="AC56" s="47" t="s">
        <v>782</v>
      </c>
      <c r="AD56" s="48"/>
      <c r="AE56" s="48"/>
      <c r="AF56" s="48"/>
      <c r="AG56" s="48"/>
      <c r="AH56" s="47" t="s">
        <v>783</v>
      </c>
      <c r="AI56" s="48"/>
      <c r="AJ56" s="48"/>
      <c r="AK56" s="48"/>
      <c r="AL56" s="48"/>
      <c r="AM56" s="47" t="s">
        <v>784</v>
      </c>
      <c r="AN56" s="48"/>
      <c r="AO56" s="48"/>
      <c r="AP56" s="48"/>
      <c r="AQ56" s="48"/>
      <c r="AR56" s="47" t="s">
        <v>785</v>
      </c>
      <c r="AS56" s="48"/>
      <c r="AT56" s="48"/>
      <c r="AU56" s="48"/>
      <c r="AV56" s="48"/>
      <c r="AW56" s="47" t="s">
        <v>786</v>
      </c>
      <c r="AX56" s="48"/>
      <c r="AY56" s="48"/>
      <c r="AZ56" s="48"/>
      <c r="BA56" s="48"/>
      <c r="BB56" s="47" t="s">
        <v>787</v>
      </c>
      <c r="BC56" s="48"/>
      <c r="BD56" s="48"/>
      <c r="BE56" s="48"/>
      <c r="BF56" s="48"/>
      <c r="BG56" s="47" t="s">
        <v>788</v>
      </c>
      <c r="BH56" s="48"/>
      <c r="BI56" s="48"/>
      <c r="BJ56" s="48"/>
      <c r="BK56" s="48"/>
      <c r="BL56" s="47" t="s">
        <v>789</v>
      </c>
      <c r="BM56" s="48"/>
      <c r="BN56" s="48"/>
      <c r="BO56" s="48"/>
    </row>
    <row r="57" ht="26.25" customHeight="1">
      <c r="A57" s="44">
        <v>1079.0</v>
      </c>
      <c r="B57" s="45" t="s">
        <v>790</v>
      </c>
      <c r="C57" s="44" t="s">
        <v>96</v>
      </c>
      <c r="D57" s="44" t="s">
        <v>712</v>
      </c>
      <c r="E57" s="44" t="s">
        <v>791</v>
      </c>
      <c r="F57" s="44" t="s">
        <v>792</v>
      </c>
      <c r="G57" s="46">
        <v>35.50361195</v>
      </c>
      <c r="H57" s="46">
        <v>127.5197893</v>
      </c>
      <c r="I57" s="47" t="str">
        <f t="shared" si="1"/>
        <v/>
      </c>
      <c r="J57" s="48">
        <f t="shared" si="2"/>
        <v>0</v>
      </c>
      <c r="K57" s="48" t="str">
        <f>IFERROR(__xludf.DUMMYFUNCTION("REGEXREPLACE(
  INDEX(
    $S$1:$BK$1,
    MATCH(
      MAX(
        MAP($T57:$BI57,$V57:$BK57,LAMBDA(a,c,IF(a=$I57,c)))
      ),
      MAP($T57:$BI57,$V57:$BK57,LAMBDA(a,c,IF(a=$I57,c))),
      0
    )
  ),
  ""^\d+_"",
  """"
)"),"#N/A")</f>
        <v>#N/A</v>
      </c>
      <c r="L57" s="48" t="str">
        <f t="shared" si="3"/>
        <v>#N/A</v>
      </c>
      <c r="M57" s="48" t="str">
        <f t="shared" si="4"/>
        <v>#N/A</v>
      </c>
      <c r="N57" s="47" t="str">
        <f t="shared" si="5"/>
        <v/>
      </c>
      <c r="O57" s="47">
        <f t="shared" si="6"/>
        <v>0</v>
      </c>
      <c r="P57" s="47" t="str">
        <f>IFERROR(__xludf.DUMMYFUNCTION("REGEXREPLACE(
  INDEX(
    {$S$1:$AQ$1,$AW$1:$BF$1},
    MATCH(
      MAX({
        MAP($T57:$AO57,$V57:$AQ57,LAMBDA(a,c,IF(a=$N57,c))),
        MAP($AX57:$BD57,$AZ57:$BF57,LAMBDA(a,c,IF(a=$N57,c)))
      }),
      {
        MAP($T57:$AO57,$V57:$AQ57,LAMB"&amp;"DA(a,c,IF(a=$N57,c))),
        MAP($AX57:$BD57,$AZ57:$BF57,LAMBDA(a,c,IF(a=$N57,c)))
      },
      0
    )
  ),
  ""^\d+_"",
  """"
)"),"#N/A")</f>
        <v>#N/A</v>
      </c>
      <c r="Q57" s="47" t="str">
        <f t="shared" si="7"/>
        <v>#N/A</v>
      </c>
      <c r="R57" s="47" t="str">
        <f t="shared" si="8"/>
        <v>#N/A</v>
      </c>
      <c r="S57" s="47" t="s">
        <v>793</v>
      </c>
      <c r="T57" s="48"/>
      <c r="U57" s="48"/>
      <c r="V57" s="48"/>
      <c r="W57" s="48"/>
      <c r="X57" s="47" t="s">
        <v>794</v>
      </c>
      <c r="Y57" s="48"/>
      <c r="Z57" s="48"/>
      <c r="AA57" s="48"/>
      <c r="AB57" s="48"/>
      <c r="AC57" s="47" t="s">
        <v>795</v>
      </c>
      <c r="AD57" s="48"/>
      <c r="AE57" s="48"/>
      <c r="AF57" s="48"/>
      <c r="AG57" s="48"/>
      <c r="AH57" s="47" t="s">
        <v>796</v>
      </c>
      <c r="AI57" s="48"/>
      <c r="AJ57" s="48"/>
      <c r="AK57" s="48"/>
      <c r="AL57" s="48"/>
      <c r="AM57" s="47" t="s">
        <v>797</v>
      </c>
      <c r="AN57" s="48"/>
      <c r="AO57" s="48"/>
      <c r="AP57" s="48"/>
      <c r="AQ57" s="48"/>
      <c r="AR57" s="47" t="s">
        <v>798</v>
      </c>
      <c r="AS57" s="48"/>
      <c r="AT57" s="48"/>
      <c r="AU57" s="48"/>
      <c r="AV57" s="48"/>
      <c r="AW57" s="47" t="s">
        <v>799</v>
      </c>
      <c r="AX57" s="48"/>
      <c r="AY57" s="48"/>
      <c r="AZ57" s="48"/>
      <c r="BA57" s="48"/>
      <c r="BB57" s="47" t="s">
        <v>800</v>
      </c>
      <c r="BC57" s="48"/>
      <c r="BD57" s="48"/>
      <c r="BE57" s="48"/>
      <c r="BF57" s="48"/>
      <c r="BG57" s="47" t="s">
        <v>801</v>
      </c>
      <c r="BH57" s="48"/>
      <c r="BI57" s="48"/>
      <c r="BJ57" s="48"/>
      <c r="BK57" s="48"/>
      <c r="BL57" s="47" t="s">
        <v>802</v>
      </c>
      <c r="BM57" s="48"/>
      <c r="BN57" s="48"/>
      <c r="BO57" s="48"/>
    </row>
    <row r="58" ht="26.25" customHeight="1">
      <c r="A58" s="44">
        <v>1080.0</v>
      </c>
      <c r="B58" s="45" t="s">
        <v>803</v>
      </c>
      <c r="C58" s="44" t="s">
        <v>96</v>
      </c>
      <c r="D58" s="44" t="s">
        <v>712</v>
      </c>
      <c r="E58" s="44" t="s">
        <v>804</v>
      </c>
      <c r="F58" s="44" t="s">
        <v>805</v>
      </c>
      <c r="G58" s="46">
        <v>35.57532653</v>
      </c>
      <c r="H58" s="46">
        <v>127.5289565</v>
      </c>
      <c r="I58" s="47" t="str">
        <f t="shared" si="1"/>
        <v/>
      </c>
      <c r="J58" s="48">
        <f t="shared" si="2"/>
        <v>0</v>
      </c>
      <c r="K58" s="48" t="str">
        <f>IFERROR(__xludf.DUMMYFUNCTION("REGEXREPLACE(
  INDEX(
    $S$1:$BK$1,
    MATCH(
      MAX(
        MAP($T58:$BI58,$V58:$BK58,LAMBDA(a,c,IF(a=$I58,c)))
      ),
      MAP($T58:$BI58,$V58:$BK58,LAMBDA(a,c,IF(a=$I58,c))),
      0
    )
  ),
  ""^\d+_"",
  """"
)"),"#N/A")</f>
        <v>#N/A</v>
      </c>
      <c r="L58" s="48" t="str">
        <f t="shared" si="3"/>
        <v>#N/A</v>
      </c>
      <c r="M58" s="48" t="str">
        <f t="shared" si="4"/>
        <v>#N/A</v>
      </c>
      <c r="N58" s="47" t="str">
        <f t="shared" si="5"/>
        <v/>
      </c>
      <c r="O58" s="47">
        <f t="shared" si="6"/>
        <v>0</v>
      </c>
      <c r="P58" s="47" t="str">
        <f>IFERROR(__xludf.DUMMYFUNCTION("REGEXREPLACE(
  INDEX(
    {$S$1:$AQ$1,$AW$1:$BF$1},
    MATCH(
      MAX({
        MAP($T58:$AO58,$V58:$AQ58,LAMBDA(a,c,IF(a=$N58,c))),
        MAP($AX58:$BD58,$AZ58:$BF58,LAMBDA(a,c,IF(a=$N58,c)))
      }),
      {
        MAP($T58:$AO58,$V58:$AQ58,LAMB"&amp;"DA(a,c,IF(a=$N58,c))),
        MAP($AX58:$BD58,$AZ58:$BF58,LAMBDA(a,c,IF(a=$N58,c)))
      },
      0
    )
  ),
  ""^\d+_"",
  """"
)"),"#N/A")</f>
        <v>#N/A</v>
      </c>
      <c r="Q58" s="47" t="str">
        <f t="shared" si="7"/>
        <v>#N/A</v>
      </c>
      <c r="R58" s="47" t="str">
        <f t="shared" si="8"/>
        <v>#N/A</v>
      </c>
      <c r="S58" s="47" t="s">
        <v>806</v>
      </c>
      <c r="T58" s="48"/>
      <c r="U58" s="48"/>
      <c r="V58" s="48"/>
      <c r="W58" s="48"/>
      <c r="X58" s="47" t="s">
        <v>807</v>
      </c>
      <c r="Y58" s="48"/>
      <c r="Z58" s="48"/>
      <c r="AA58" s="48"/>
      <c r="AB58" s="48"/>
      <c r="AC58" s="47" t="s">
        <v>808</v>
      </c>
      <c r="AD58" s="48"/>
      <c r="AE58" s="48"/>
      <c r="AF58" s="48"/>
      <c r="AG58" s="48"/>
      <c r="AH58" s="47" t="s">
        <v>809</v>
      </c>
      <c r="AI58" s="48"/>
      <c r="AJ58" s="48"/>
      <c r="AK58" s="48"/>
      <c r="AL58" s="48"/>
      <c r="AM58" s="47" t="s">
        <v>810</v>
      </c>
      <c r="AN58" s="48"/>
      <c r="AO58" s="48"/>
      <c r="AP58" s="48"/>
      <c r="AQ58" s="48"/>
      <c r="AR58" s="47" t="s">
        <v>811</v>
      </c>
      <c r="AS58" s="48"/>
      <c r="AT58" s="48"/>
      <c r="AU58" s="48"/>
      <c r="AV58" s="48"/>
      <c r="AW58" s="47" t="s">
        <v>812</v>
      </c>
      <c r="AX58" s="48"/>
      <c r="AY58" s="48"/>
      <c r="AZ58" s="48"/>
      <c r="BA58" s="48"/>
      <c r="BB58" s="47" t="s">
        <v>813</v>
      </c>
      <c r="BC58" s="48"/>
      <c r="BD58" s="48"/>
      <c r="BE58" s="48"/>
      <c r="BF58" s="48"/>
      <c r="BG58" s="47" t="s">
        <v>814</v>
      </c>
      <c r="BH58" s="48"/>
      <c r="BI58" s="48"/>
      <c r="BJ58" s="48"/>
      <c r="BK58" s="48"/>
      <c r="BL58" s="47" t="s">
        <v>815</v>
      </c>
      <c r="BM58" s="48"/>
      <c r="BN58" s="48"/>
      <c r="BO58" s="48"/>
    </row>
    <row r="59" ht="26.25" customHeight="1">
      <c r="A59" s="44">
        <v>1081.0</v>
      </c>
      <c r="B59" s="45" t="s">
        <v>816</v>
      </c>
      <c r="C59" s="44" t="s">
        <v>96</v>
      </c>
      <c r="D59" s="44" t="s">
        <v>712</v>
      </c>
      <c r="E59" s="44" t="s">
        <v>817</v>
      </c>
      <c r="F59" s="44" t="s">
        <v>818</v>
      </c>
      <c r="G59" s="46">
        <v>35.58507714</v>
      </c>
      <c r="H59" s="46">
        <v>127.42091</v>
      </c>
      <c r="I59" s="47" t="str">
        <f t="shared" si="1"/>
        <v/>
      </c>
      <c r="J59" s="48">
        <f t="shared" si="2"/>
        <v>0</v>
      </c>
      <c r="K59" s="48" t="str">
        <f>IFERROR(__xludf.DUMMYFUNCTION("REGEXREPLACE(
  INDEX(
    $S$1:$BK$1,
    MATCH(
      MAX(
        MAP($T59:$BI59,$V59:$BK59,LAMBDA(a,c,IF(a=$I59,c)))
      ),
      MAP($T59:$BI59,$V59:$BK59,LAMBDA(a,c,IF(a=$I59,c))),
      0
    )
  ),
  ""^\d+_"",
  """"
)"),"#N/A")</f>
        <v>#N/A</v>
      </c>
      <c r="L59" s="48" t="str">
        <f t="shared" si="3"/>
        <v>#N/A</v>
      </c>
      <c r="M59" s="48" t="str">
        <f t="shared" si="4"/>
        <v>#N/A</v>
      </c>
      <c r="N59" s="47" t="str">
        <f t="shared" si="5"/>
        <v/>
      </c>
      <c r="O59" s="47">
        <f t="shared" si="6"/>
        <v>0</v>
      </c>
      <c r="P59" s="47" t="str">
        <f>IFERROR(__xludf.DUMMYFUNCTION("REGEXREPLACE(
  INDEX(
    {$S$1:$AQ$1,$AW$1:$BF$1},
    MATCH(
      MAX({
        MAP($T59:$AO59,$V59:$AQ59,LAMBDA(a,c,IF(a=$N59,c))),
        MAP($AX59:$BD59,$AZ59:$BF59,LAMBDA(a,c,IF(a=$N59,c)))
      }),
      {
        MAP($T59:$AO59,$V59:$AQ59,LAMB"&amp;"DA(a,c,IF(a=$N59,c))),
        MAP($AX59:$BD59,$AZ59:$BF59,LAMBDA(a,c,IF(a=$N59,c)))
      },
      0
    )
  ),
  ""^\d+_"",
  """"
)"),"#N/A")</f>
        <v>#N/A</v>
      </c>
      <c r="Q59" s="47" t="str">
        <f t="shared" si="7"/>
        <v>#N/A</v>
      </c>
      <c r="R59" s="47" t="str">
        <f t="shared" si="8"/>
        <v>#N/A</v>
      </c>
      <c r="S59" s="47" t="s">
        <v>819</v>
      </c>
      <c r="T59" s="48"/>
      <c r="U59" s="48"/>
      <c r="V59" s="48"/>
      <c r="W59" s="48"/>
      <c r="X59" s="47" t="s">
        <v>820</v>
      </c>
      <c r="Y59" s="48"/>
      <c r="Z59" s="48"/>
      <c r="AA59" s="48"/>
      <c r="AB59" s="48"/>
      <c r="AC59" s="47" t="s">
        <v>821</v>
      </c>
      <c r="AD59" s="48"/>
      <c r="AE59" s="48"/>
      <c r="AF59" s="48"/>
      <c r="AG59" s="48"/>
      <c r="AH59" s="47" t="s">
        <v>822</v>
      </c>
      <c r="AI59" s="48"/>
      <c r="AJ59" s="48"/>
      <c r="AK59" s="48"/>
      <c r="AL59" s="48"/>
      <c r="AM59" s="47" t="s">
        <v>823</v>
      </c>
      <c r="AN59" s="48"/>
      <c r="AO59" s="48"/>
      <c r="AP59" s="48"/>
      <c r="AQ59" s="48"/>
      <c r="AR59" s="47" t="s">
        <v>824</v>
      </c>
      <c r="AS59" s="48"/>
      <c r="AT59" s="48"/>
      <c r="AU59" s="48"/>
      <c r="AV59" s="48"/>
      <c r="AW59" s="47" t="s">
        <v>825</v>
      </c>
      <c r="AX59" s="48"/>
      <c r="AY59" s="48"/>
      <c r="AZ59" s="48"/>
      <c r="BA59" s="48"/>
      <c r="BB59" s="47" t="s">
        <v>826</v>
      </c>
      <c r="BC59" s="48"/>
      <c r="BD59" s="48"/>
      <c r="BE59" s="48"/>
      <c r="BF59" s="48"/>
      <c r="BG59" s="47" t="s">
        <v>827</v>
      </c>
      <c r="BH59" s="48"/>
      <c r="BI59" s="48"/>
      <c r="BJ59" s="48"/>
      <c r="BK59" s="48"/>
      <c r="BL59" s="47" t="s">
        <v>828</v>
      </c>
      <c r="BM59" s="48"/>
      <c r="BN59" s="48"/>
      <c r="BO59" s="48"/>
    </row>
    <row r="60" ht="26.25" customHeight="1">
      <c r="A60" s="44">
        <v>1082.0</v>
      </c>
      <c r="B60" s="45" t="s">
        <v>829</v>
      </c>
      <c r="C60" s="44" t="s">
        <v>96</v>
      </c>
      <c r="D60" s="44" t="s">
        <v>712</v>
      </c>
      <c r="E60" s="44" t="s">
        <v>830</v>
      </c>
      <c r="F60" s="44" t="s">
        <v>831</v>
      </c>
      <c r="G60" s="46">
        <v>35.74814578</v>
      </c>
      <c r="H60" s="46">
        <v>127.5688115</v>
      </c>
      <c r="I60" s="47" t="str">
        <f t="shared" si="1"/>
        <v/>
      </c>
      <c r="J60" s="48">
        <f t="shared" si="2"/>
        <v>0</v>
      </c>
      <c r="K60" s="48" t="str">
        <f>IFERROR(__xludf.DUMMYFUNCTION("REGEXREPLACE(
  INDEX(
    $S$1:$BK$1,
    MATCH(
      MAX(
        MAP($T60:$BI60,$V60:$BK60,LAMBDA(a,c,IF(a=$I60,c)))
      ),
      MAP($T60:$BI60,$V60:$BK60,LAMBDA(a,c,IF(a=$I60,c))),
      0
    )
  ),
  ""^\d+_"",
  """"
)"),"#N/A")</f>
        <v>#N/A</v>
      </c>
      <c r="L60" s="48" t="str">
        <f t="shared" si="3"/>
        <v>#N/A</v>
      </c>
      <c r="M60" s="48" t="str">
        <f t="shared" si="4"/>
        <v>#N/A</v>
      </c>
      <c r="N60" s="47" t="str">
        <f t="shared" si="5"/>
        <v/>
      </c>
      <c r="O60" s="47">
        <f t="shared" si="6"/>
        <v>0</v>
      </c>
      <c r="P60" s="47" t="str">
        <f>IFERROR(__xludf.DUMMYFUNCTION("REGEXREPLACE(
  INDEX(
    {$S$1:$AQ$1,$AW$1:$BF$1},
    MATCH(
      MAX({
        MAP($T60:$AO60,$V60:$AQ60,LAMBDA(a,c,IF(a=$N60,c))),
        MAP($AX60:$BD60,$AZ60:$BF60,LAMBDA(a,c,IF(a=$N60,c)))
      }),
      {
        MAP($T60:$AO60,$V60:$AQ60,LAMB"&amp;"DA(a,c,IF(a=$N60,c))),
        MAP($AX60:$BD60,$AZ60:$BF60,LAMBDA(a,c,IF(a=$N60,c)))
      },
      0
    )
  ),
  ""^\d+_"",
  """"
)"),"#N/A")</f>
        <v>#N/A</v>
      </c>
      <c r="Q60" s="47" t="str">
        <f t="shared" si="7"/>
        <v>#N/A</v>
      </c>
      <c r="R60" s="47" t="str">
        <f t="shared" si="8"/>
        <v>#N/A</v>
      </c>
      <c r="S60" s="47" t="s">
        <v>832</v>
      </c>
      <c r="T60" s="48"/>
      <c r="U60" s="48"/>
      <c r="V60" s="48"/>
      <c r="W60" s="48"/>
      <c r="X60" s="47" t="s">
        <v>833</v>
      </c>
      <c r="Y60" s="48"/>
      <c r="Z60" s="48"/>
      <c r="AA60" s="48"/>
      <c r="AB60" s="48"/>
      <c r="AC60" s="47" t="s">
        <v>834</v>
      </c>
      <c r="AD60" s="48"/>
      <c r="AE60" s="48"/>
      <c r="AF60" s="48"/>
      <c r="AG60" s="48"/>
      <c r="AH60" s="47" t="s">
        <v>835</v>
      </c>
      <c r="AI60" s="48"/>
      <c r="AJ60" s="48"/>
      <c r="AK60" s="48"/>
      <c r="AL60" s="48"/>
      <c r="AM60" s="47" t="s">
        <v>836</v>
      </c>
      <c r="AN60" s="48"/>
      <c r="AO60" s="48"/>
      <c r="AP60" s="48"/>
      <c r="AQ60" s="48"/>
      <c r="AR60" s="47" t="s">
        <v>837</v>
      </c>
      <c r="AS60" s="48"/>
      <c r="AT60" s="48"/>
      <c r="AU60" s="48"/>
      <c r="AV60" s="48"/>
      <c r="AW60" s="47" t="s">
        <v>838</v>
      </c>
      <c r="AX60" s="48"/>
      <c r="AY60" s="48"/>
      <c r="AZ60" s="48"/>
      <c r="BA60" s="48"/>
      <c r="BB60" s="47" t="s">
        <v>839</v>
      </c>
      <c r="BC60" s="48"/>
      <c r="BD60" s="48"/>
      <c r="BE60" s="48"/>
      <c r="BF60" s="48"/>
      <c r="BG60" s="47" t="s">
        <v>840</v>
      </c>
      <c r="BH60" s="48"/>
      <c r="BI60" s="48"/>
      <c r="BJ60" s="48"/>
      <c r="BK60" s="48"/>
      <c r="BL60" s="47" t="s">
        <v>841</v>
      </c>
      <c r="BM60" s="48"/>
      <c r="BN60" s="48"/>
      <c r="BO60" s="48"/>
    </row>
    <row r="61" ht="26.25" customHeight="1">
      <c r="A61" s="44">
        <v>1083.0</v>
      </c>
      <c r="B61" s="45" t="s">
        <v>842</v>
      </c>
      <c r="C61" s="44" t="s">
        <v>96</v>
      </c>
      <c r="D61" s="44" t="s">
        <v>712</v>
      </c>
      <c r="E61" s="44" t="s">
        <v>843</v>
      </c>
      <c r="F61" s="44" t="s">
        <v>844</v>
      </c>
      <c r="G61" s="46">
        <v>35.72377845</v>
      </c>
      <c r="H61" s="46">
        <v>127.6375642</v>
      </c>
      <c r="I61" s="47" t="str">
        <f t="shared" si="1"/>
        <v/>
      </c>
      <c r="J61" s="48">
        <f t="shared" si="2"/>
        <v>0</v>
      </c>
      <c r="K61" s="48" t="str">
        <f>IFERROR(__xludf.DUMMYFUNCTION("REGEXREPLACE(
  INDEX(
    $S$1:$BK$1,
    MATCH(
      MAX(
        MAP($T61:$BI61,$V61:$BK61,LAMBDA(a,c,IF(a=$I61,c)))
      ),
      MAP($T61:$BI61,$V61:$BK61,LAMBDA(a,c,IF(a=$I61,c))),
      0
    )
  ),
  ""^\d+_"",
  """"
)"),"#N/A")</f>
        <v>#N/A</v>
      </c>
      <c r="L61" s="48" t="str">
        <f t="shared" si="3"/>
        <v>#N/A</v>
      </c>
      <c r="M61" s="48" t="str">
        <f t="shared" si="4"/>
        <v>#N/A</v>
      </c>
      <c r="N61" s="47" t="str">
        <f t="shared" si="5"/>
        <v/>
      </c>
      <c r="O61" s="47">
        <f t="shared" si="6"/>
        <v>0</v>
      </c>
      <c r="P61" s="47" t="str">
        <f>IFERROR(__xludf.DUMMYFUNCTION("REGEXREPLACE(
  INDEX(
    {$S$1:$AQ$1,$AW$1:$BF$1},
    MATCH(
      MAX({
        MAP($T61:$AO61,$V61:$AQ61,LAMBDA(a,c,IF(a=$N61,c))),
        MAP($AX61:$BD61,$AZ61:$BF61,LAMBDA(a,c,IF(a=$N61,c)))
      }),
      {
        MAP($T61:$AO61,$V61:$AQ61,LAMB"&amp;"DA(a,c,IF(a=$N61,c))),
        MAP($AX61:$BD61,$AZ61:$BF61,LAMBDA(a,c,IF(a=$N61,c)))
      },
      0
    )
  ),
  ""^\d+_"",
  """"
)"),"#N/A")</f>
        <v>#N/A</v>
      </c>
      <c r="Q61" s="47" t="str">
        <f t="shared" si="7"/>
        <v>#N/A</v>
      </c>
      <c r="R61" s="47" t="str">
        <f t="shared" si="8"/>
        <v>#N/A</v>
      </c>
      <c r="S61" s="47" t="s">
        <v>845</v>
      </c>
      <c r="T61" s="48"/>
      <c r="U61" s="48"/>
      <c r="V61" s="48"/>
      <c r="W61" s="48"/>
      <c r="X61" s="47" t="s">
        <v>846</v>
      </c>
      <c r="Y61" s="48"/>
      <c r="Z61" s="48"/>
      <c r="AA61" s="48"/>
      <c r="AB61" s="48"/>
      <c r="AC61" s="47" t="s">
        <v>847</v>
      </c>
      <c r="AD61" s="48"/>
      <c r="AE61" s="48"/>
      <c r="AF61" s="48"/>
      <c r="AG61" s="48"/>
      <c r="AH61" s="47" t="s">
        <v>848</v>
      </c>
      <c r="AI61" s="48"/>
      <c r="AJ61" s="48"/>
      <c r="AK61" s="48"/>
      <c r="AL61" s="48"/>
      <c r="AM61" s="47" t="s">
        <v>849</v>
      </c>
      <c r="AN61" s="48"/>
      <c r="AO61" s="48"/>
      <c r="AP61" s="48"/>
      <c r="AQ61" s="48"/>
      <c r="AR61" s="47" t="s">
        <v>850</v>
      </c>
      <c r="AS61" s="48"/>
      <c r="AT61" s="48"/>
      <c r="AU61" s="48"/>
      <c r="AV61" s="48"/>
      <c r="AW61" s="47" t="s">
        <v>851</v>
      </c>
      <c r="AX61" s="48"/>
      <c r="AY61" s="48"/>
      <c r="AZ61" s="48"/>
      <c r="BA61" s="48"/>
      <c r="BB61" s="47" t="s">
        <v>852</v>
      </c>
      <c r="BC61" s="48"/>
      <c r="BD61" s="48"/>
      <c r="BE61" s="48"/>
      <c r="BF61" s="48"/>
      <c r="BG61" s="47" t="s">
        <v>853</v>
      </c>
      <c r="BH61" s="48"/>
      <c r="BI61" s="48"/>
      <c r="BJ61" s="48"/>
      <c r="BK61" s="48"/>
      <c r="BL61" s="47" t="s">
        <v>854</v>
      </c>
      <c r="BM61" s="48"/>
      <c r="BN61" s="48"/>
      <c r="BO61" s="48"/>
    </row>
    <row r="62" ht="26.25" customHeight="1">
      <c r="A62" s="44">
        <v>1084.0</v>
      </c>
      <c r="B62" s="45" t="s">
        <v>855</v>
      </c>
      <c r="C62" s="44" t="s">
        <v>96</v>
      </c>
      <c r="D62" s="44" t="s">
        <v>712</v>
      </c>
      <c r="E62" s="44" t="s">
        <v>856</v>
      </c>
      <c r="F62" s="44" t="s">
        <v>857</v>
      </c>
      <c r="G62" s="46">
        <v>35.65572147</v>
      </c>
      <c r="H62" s="46">
        <v>127.5466106</v>
      </c>
      <c r="I62" s="47" t="str">
        <f t="shared" si="1"/>
        <v/>
      </c>
      <c r="J62" s="48">
        <f t="shared" si="2"/>
        <v>0</v>
      </c>
      <c r="K62" s="48" t="str">
        <f>IFERROR(__xludf.DUMMYFUNCTION("REGEXREPLACE(
  INDEX(
    $S$1:$BK$1,
    MATCH(
      MAX(
        MAP($T62:$BI62,$V62:$BK62,LAMBDA(a,c,IF(a=$I62,c)))
      ),
      MAP($T62:$BI62,$V62:$BK62,LAMBDA(a,c,IF(a=$I62,c))),
      0
    )
  ),
  ""^\d+_"",
  """"
)"),"#N/A")</f>
        <v>#N/A</v>
      </c>
      <c r="L62" s="48" t="str">
        <f t="shared" si="3"/>
        <v>#N/A</v>
      </c>
      <c r="M62" s="48" t="str">
        <f t="shared" si="4"/>
        <v>#N/A</v>
      </c>
      <c r="N62" s="47" t="str">
        <f t="shared" si="5"/>
        <v/>
      </c>
      <c r="O62" s="47">
        <f t="shared" si="6"/>
        <v>0</v>
      </c>
      <c r="P62" s="47" t="str">
        <f>IFERROR(__xludf.DUMMYFUNCTION("REGEXREPLACE(
  INDEX(
    {$S$1:$AQ$1,$AW$1:$BF$1},
    MATCH(
      MAX({
        MAP($T62:$AO62,$V62:$AQ62,LAMBDA(a,c,IF(a=$N62,c))),
        MAP($AX62:$BD62,$AZ62:$BF62,LAMBDA(a,c,IF(a=$N62,c)))
      }),
      {
        MAP($T62:$AO62,$V62:$AQ62,LAMB"&amp;"DA(a,c,IF(a=$N62,c))),
        MAP($AX62:$BD62,$AZ62:$BF62,LAMBDA(a,c,IF(a=$N62,c)))
      },
      0
    )
  ),
  ""^\d+_"",
  """"
)"),"#N/A")</f>
        <v>#N/A</v>
      </c>
      <c r="Q62" s="47" t="str">
        <f t="shared" si="7"/>
        <v>#N/A</v>
      </c>
      <c r="R62" s="47" t="str">
        <f t="shared" si="8"/>
        <v>#N/A</v>
      </c>
      <c r="S62" s="47" t="s">
        <v>858</v>
      </c>
      <c r="T62" s="48"/>
      <c r="U62" s="48"/>
      <c r="V62" s="48"/>
      <c r="W62" s="48"/>
      <c r="X62" s="47" t="s">
        <v>859</v>
      </c>
      <c r="Y62" s="48"/>
      <c r="Z62" s="48"/>
      <c r="AA62" s="48"/>
      <c r="AB62" s="48"/>
      <c r="AC62" s="47" t="s">
        <v>860</v>
      </c>
      <c r="AD62" s="48"/>
      <c r="AE62" s="48"/>
      <c r="AF62" s="48"/>
      <c r="AG62" s="48"/>
      <c r="AH62" s="47" t="s">
        <v>861</v>
      </c>
      <c r="AI62" s="48"/>
      <c r="AJ62" s="48"/>
      <c r="AK62" s="48"/>
      <c r="AL62" s="48"/>
      <c r="AM62" s="47" t="s">
        <v>862</v>
      </c>
      <c r="AN62" s="48"/>
      <c r="AO62" s="48"/>
      <c r="AP62" s="48"/>
      <c r="AQ62" s="48"/>
      <c r="AR62" s="47" t="s">
        <v>863</v>
      </c>
      <c r="AS62" s="48"/>
      <c r="AT62" s="48"/>
      <c r="AU62" s="48"/>
      <c r="AV62" s="48"/>
      <c r="AW62" s="47" t="s">
        <v>864</v>
      </c>
      <c r="AX62" s="48"/>
      <c r="AY62" s="48"/>
      <c r="AZ62" s="48"/>
      <c r="BA62" s="48"/>
      <c r="BB62" s="47" t="s">
        <v>865</v>
      </c>
      <c r="BC62" s="48"/>
      <c r="BD62" s="48"/>
      <c r="BE62" s="48"/>
      <c r="BF62" s="48"/>
      <c r="BG62" s="47" t="s">
        <v>866</v>
      </c>
      <c r="BH62" s="48"/>
      <c r="BI62" s="48"/>
      <c r="BJ62" s="48"/>
      <c r="BK62" s="48"/>
      <c r="BL62" s="47" t="s">
        <v>867</v>
      </c>
      <c r="BM62" s="48"/>
      <c r="BN62" s="48"/>
      <c r="BO62" s="48"/>
    </row>
    <row r="63" ht="26.25" customHeight="1">
      <c r="A63" s="44">
        <v>1085.0</v>
      </c>
      <c r="B63" s="45" t="s">
        <v>868</v>
      </c>
      <c r="C63" s="44" t="s">
        <v>96</v>
      </c>
      <c r="D63" s="44" t="s">
        <v>712</v>
      </c>
      <c r="E63" s="44" t="s">
        <v>869</v>
      </c>
      <c r="F63" s="44" t="s">
        <v>870</v>
      </c>
      <c r="G63" s="46">
        <v>35.59774664</v>
      </c>
      <c r="H63" s="46">
        <v>127.4629816</v>
      </c>
      <c r="I63" s="47" t="str">
        <f t="shared" si="1"/>
        <v/>
      </c>
      <c r="J63" s="48">
        <f t="shared" si="2"/>
        <v>0</v>
      </c>
      <c r="K63" s="48" t="str">
        <f>IFERROR(__xludf.DUMMYFUNCTION("REGEXREPLACE(
  INDEX(
    $S$1:$BK$1,
    MATCH(
      MAX(
        MAP($T63:$BI63,$V63:$BK63,LAMBDA(a,c,IF(a=$I63,c)))
      ),
      MAP($T63:$BI63,$V63:$BK63,LAMBDA(a,c,IF(a=$I63,c))),
      0
    )
  ),
  ""^\d+_"",
  """"
)"),"#N/A")</f>
        <v>#N/A</v>
      </c>
      <c r="L63" s="48" t="str">
        <f t="shared" si="3"/>
        <v>#N/A</v>
      </c>
      <c r="M63" s="48" t="str">
        <f t="shared" si="4"/>
        <v>#N/A</v>
      </c>
      <c r="N63" s="47" t="str">
        <f t="shared" si="5"/>
        <v/>
      </c>
      <c r="O63" s="47">
        <f t="shared" si="6"/>
        <v>0</v>
      </c>
      <c r="P63" s="47" t="str">
        <f>IFERROR(__xludf.DUMMYFUNCTION("REGEXREPLACE(
  INDEX(
    {$S$1:$AQ$1,$AW$1:$BF$1},
    MATCH(
      MAX({
        MAP($T63:$AO63,$V63:$AQ63,LAMBDA(a,c,IF(a=$N63,c))),
        MAP($AX63:$BD63,$AZ63:$BF63,LAMBDA(a,c,IF(a=$N63,c)))
      }),
      {
        MAP($T63:$AO63,$V63:$AQ63,LAMB"&amp;"DA(a,c,IF(a=$N63,c))),
        MAP($AX63:$BD63,$AZ63:$BF63,LAMBDA(a,c,IF(a=$N63,c)))
      },
      0
    )
  ),
  ""^\d+_"",
  """"
)"),"#N/A")</f>
        <v>#N/A</v>
      </c>
      <c r="Q63" s="47" t="str">
        <f t="shared" si="7"/>
        <v>#N/A</v>
      </c>
      <c r="R63" s="47" t="str">
        <f t="shared" si="8"/>
        <v>#N/A</v>
      </c>
      <c r="S63" s="47" t="s">
        <v>871</v>
      </c>
      <c r="T63" s="48"/>
      <c r="U63" s="48"/>
      <c r="V63" s="48"/>
      <c r="W63" s="48"/>
      <c r="X63" s="47" t="s">
        <v>872</v>
      </c>
      <c r="Y63" s="48"/>
      <c r="Z63" s="48"/>
      <c r="AA63" s="48"/>
      <c r="AB63" s="48"/>
      <c r="AC63" s="47" t="s">
        <v>873</v>
      </c>
      <c r="AD63" s="48"/>
      <c r="AE63" s="48"/>
      <c r="AF63" s="48"/>
      <c r="AG63" s="48"/>
      <c r="AH63" s="47" t="s">
        <v>874</v>
      </c>
      <c r="AI63" s="48"/>
      <c r="AJ63" s="48"/>
      <c r="AK63" s="48"/>
      <c r="AL63" s="48"/>
      <c r="AM63" s="47" t="s">
        <v>875</v>
      </c>
      <c r="AN63" s="48"/>
      <c r="AO63" s="48"/>
      <c r="AP63" s="48"/>
      <c r="AQ63" s="48"/>
      <c r="AR63" s="47" t="s">
        <v>876</v>
      </c>
      <c r="AS63" s="48"/>
      <c r="AT63" s="48"/>
      <c r="AU63" s="48"/>
      <c r="AV63" s="48"/>
      <c r="AW63" s="47" t="s">
        <v>877</v>
      </c>
      <c r="AX63" s="48"/>
      <c r="AY63" s="48"/>
      <c r="AZ63" s="48"/>
      <c r="BA63" s="48"/>
      <c r="BB63" s="47" t="s">
        <v>878</v>
      </c>
      <c r="BC63" s="48"/>
      <c r="BD63" s="48"/>
      <c r="BE63" s="48"/>
      <c r="BF63" s="48"/>
      <c r="BG63" s="47" t="s">
        <v>879</v>
      </c>
      <c r="BH63" s="48"/>
      <c r="BI63" s="48"/>
      <c r="BJ63" s="48"/>
      <c r="BK63" s="48"/>
      <c r="BL63" s="47" t="s">
        <v>880</v>
      </c>
      <c r="BM63" s="48"/>
      <c r="BN63" s="48"/>
      <c r="BO63" s="48"/>
    </row>
    <row r="64" ht="26.25" customHeight="1">
      <c r="A64" s="44">
        <v>1086.0</v>
      </c>
      <c r="B64" s="45" t="s">
        <v>881</v>
      </c>
      <c r="C64" s="44" t="s">
        <v>96</v>
      </c>
      <c r="D64" s="44" t="s">
        <v>712</v>
      </c>
      <c r="E64" s="44" t="s">
        <v>882</v>
      </c>
      <c r="F64" s="44" t="s">
        <v>883</v>
      </c>
      <c r="G64" s="46">
        <v>35.6220032</v>
      </c>
      <c r="H64" s="46">
        <v>127.4900363</v>
      </c>
      <c r="I64" s="47" t="str">
        <f t="shared" si="1"/>
        <v/>
      </c>
      <c r="J64" s="48">
        <f t="shared" si="2"/>
        <v>0</v>
      </c>
      <c r="K64" s="48" t="str">
        <f>IFERROR(__xludf.DUMMYFUNCTION("REGEXREPLACE(
  INDEX(
    $S$1:$BK$1,
    MATCH(
      MAX(
        MAP($T64:$BI64,$V64:$BK64,LAMBDA(a,c,IF(a=$I64,c)))
      ),
      MAP($T64:$BI64,$V64:$BK64,LAMBDA(a,c,IF(a=$I64,c))),
      0
    )
  ),
  ""^\d+_"",
  """"
)"),"#N/A")</f>
        <v>#N/A</v>
      </c>
      <c r="L64" s="48" t="str">
        <f t="shared" si="3"/>
        <v>#N/A</v>
      </c>
      <c r="M64" s="48" t="str">
        <f t="shared" si="4"/>
        <v>#N/A</v>
      </c>
      <c r="N64" s="47" t="str">
        <f t="shared" si="5"/>
        <v/>
      </c>
      <c r="O64" s="47">
        <f t="shared" si="6"/>
        <v>0</v>
      </c>
      <c r="P64" s="47" t="str">
        <f>IFERROR(__xludf.DUMMYFUNCTION("REGEXREPLACE(
  INDEX(
    {$S$1:$AQ$1,$AW$1:$BF$1},
    MATCH(
      MAX({
        MAP($T64:$AO64,$V64:$AQ64,LAMBDA(a,c,IF(a=$N64,c))),
        MAP($AX64:$BD64,$AZ64:$BF64,LAMBDA(a,c,IF(a=$N64,c)))
      }),
      {
        MAP($T64:$AO64,$V64:$AQ64,LAMB"&amp;"DA(a,c,IF(a=$N64,c))),
        MAP($AX64:$BD64,$AZ64:$BF64,LAMBDA(a,c,IF(a=$N64,c)))
      },
      0
    )
  ),
  ""^\d+_"",
  """"
)"),"#N/A")</f>
        <v>#N/A</v>
      </c>
      <c r="Q64" s="47" t="str">
        <f t="shared" si="7"/>
        <v>#N/A</v>
      </c>
      <c r="R64" s="47" t="str">
        <f t="shared" si="8"/>
        <v>#N/A</v>
      </c>
      <c r="S64" s="47" t="s">
        <v>884</v>
      </c>
      <c r="T64" s="48"/>
      <c r="U64" s="48"/>
      <c r="V64" s="48"/>
      <c r="W64" s="48"/>
      <c r="X64" s="47" t="s">
        <v>885</v>
      </c>
      <c r="Y64" s="48"/>
      <c r="Z64" s="48"/>
      <c r="AA64" s="48"/>
      <c r="AB64" s="48"/>
      <c r="AC64" s="47" t="s">
        <v>886</v>
      </c>
      <c r="AD64" s="48"/>
      <c r="AE64" s="48"/>
      <c r="AF64" s="48"/>
      <c r="AG64" s="48"/>
      <c r="AH64" s="47" t="s">
        <v>887</v>
      </c>
      <c r="AI64" s="48"/>
      <c r="AJ64" s="48"/>
      <c r="AK64" s="48"/>
      <c r="AL64" s="48"/>
      <c r="AM64" s="47" t="s">
        <v>888</v>
      </c>
      <c r="AN64" s="48"/>
      <c r="AO64" s="48"/>
      <c r="AP64" s="48"/>
      <c r="AQ64" s="48"/>
      <c r="AR64" s="47" t="s">
        <v>889</v>
      </c>
      <c r="AS64" s="48"/>
      <c r="AT64" s="48"/>
      <c r="AU64" s="48"/>
      <c r="AV64" s="48"/>
      <c r="AW64" s="47" t="s">
        <v>890</v>
      </c>
      <c r="AX64" s="48"/>
      <c r="AY64" s="48"/>
      <c r="AZ64" s="48"/>
      <c r="BA64" s="48"/>
      <c r="BB64" s="47" t="s">
        <v>891</v>
      </c>
      <c r="BC64" s="48"/>
      <c r="BD64" s="48"/>
      <c r="BE64" s="48"/>
      <c r="BF64" s="48"/>
      <c r="BG64" s="47" t="s">
        <v>892</v>
      </c>
      <c r="BH64" s="48"/>
      <c r="BI64" s="48"/>
      <c r="BJ64" s="48"/>
      <c r="BK64" s="48"/>
      <c r="BL64" s="47" t="s">
        <v>893</v>
      </c>
      <c r="BM64" s="48"/>
      <c r="BN64" s="48"/>
      <c r="BO64" s="48"/>
    </row>
    <row r="65" ht="26.25" customHeight="1">
      <c r="A65" s="44">
        <v>1087.0</v>
      </c>
      <c r="B65" s="45" t="s">
        <v>894</v>
      </c>
      <c r="C65" s="44" t="s">
        <v>96</v>
      </c>
      <c r="D65" s="44" t="s">
        <v>712</v>
      </c>
      <c r="E65" s="44" t="s">
        <v>895</v>
      </c>
      <c r="F65" s="44" t="s">
        <v>896</v>
      </c>
      <c r="G65" s="46">
        <v>35.73093796</v>
      </c>
      <c r="H65" s="46">
        <v>127.5250711</v>
      </c>
      <c r="I65" s="47" t="str">
        <f t="shared" si="1"/>
        <v/>
      </c>
      <c r="J65" s="48">
        <f t="shared" si="2"/>
        <v>0</v>
      </c>
      <c r="K65" s="48" t="str">
        <f>IFERROR(__xludf.DUMMYFUNCTION("REGEXREPLACE(
  INDEX(
    $S$1:$BK$1,
    MATCH(
      MAX(
        MAP($T65:$BI65,$V65:$BK65,LAMBDA(a,c,IF(a=$I65,c)))
      ),
      MAP($T65:$BI65,$V65:$BK65,LAMBDA(a,c,IF(a=$I65,c))),
      0
    )
  ),
  ""^\d+_"",
  """"
)"),"#N/A")</f>
        <v>#N/A</v>
      </c>
      <c r="L65" s="48" t="str">
        <f t="shared" si="3"/>
        <v>#N/A</v>
      </c>
      <c r="M65" s="48" t="str">
        <f t="shared" si="4"/>
        <v>#N/A</v>
      </c>
      <c r="N65" s="47" t="str">
        <f t="shared" si="5"/>
        <v/>
      </c>
      <c r="O65" s="47">
        <f t="shared" si="6"/>
        <v>0</v>
      </c>
      <c r="P65" s="47" t="str">
        <f>IFERROR(__xludf.DUMMYFUNCTION("REGEXREPLACE(
  INDEX(
    {$S$1:$AQ$1,$AW$1:$BF$1},
    MATCH(
      MAX({
        MAP($T65:$AO65,$V65:$AQ65,LAMBDA(a,c,IF(a=$N65,c))),
        MAP($AX65:$BD65,$AZ65:$BF65,LAMBDA(a,c,IF(a=$N65,c)))
      }),
      {
        MAP($T65:$AO65,$V65:$AQ65,LAMB"&amp;"DA(a,c,IF(a=$N65,c))),
        MAP($AX65:$BD65,$AZ65:$BF65,LAMBDA(a,c,IF(a=$N65,c)))
      },
      0
    )
  ),
  ""^\d+_"",
  """"
)"),"#N/A")</f>
        <v>#N/A</v>
      </c>
      <c r="Q65" s="47" t="str">
        <f t="shared" si="7"/>
        <v>#N/A</v>
      </c>
      <c r="R65" s="47" t="str">
        <f t="shared" si="8"/>
        <v>#N/A</v>
      </c>
      <c r="S65" s="47" t="s">
        <v>897</v>
      </c>
      <c r="T65" s="48"/>
      <c r="U65" s="48"/>
      <c r="V65" s="48"/>
      <c r="W65" s="48"/>
      <c r="X65" s="47" t="s">
        <v>898</v>
      </c>
      <c r="Y65" s="48"/>
      <c r="Z65" s="48"/>
      <c r="AA65" s="48"/>
      <c r="AB65" s="48"/>
      <c r="AC65" s="47" t="s">
        <v>899</v>
      </c>
      <c r="AD65" s="48"/>
      <c r="AE65" s="48"/>
      <c r="AF65" s="48"/>
      <c r="AG65" s="48"/>
      <c r="AH65" s="47" t="s">
        <v>900</v>
      </c>
      <c r="AI65" s="48"/>
      <c r="AJ65" s="48"/>
      <c r="AK65" s="48"/>
      <c r="AL65" s="48"/>
      <c r="AM65" s="47" t="s">
        <v>901</v>
      </c>
      <c r="AN65" s="48"/>
      <c r="AO65" s="48"/>
      <c r="AP65" s="48"/>
      <c r="AQ65" s="48"/>
      <c r="AR65" s="47" t="s">
        <v>902</v>
      </c>
      <c r="AS65" s="48"/>
      <c r="AT65" s="48"/>
      <c r="AU65" s="48"/>
      <c r="AV65" s="48"/>
      <c r="AW65" s="47" t="s">
        <v>903</v>
      </c>
      <c r="AX65" s="48"/>
      <c r="AY65" s="48"/>
      <c r="AZ65" s="48"/>
      <c r="BA65" s="48"/>
      <c r="BB65" s="47" t="s">
        <v>904</v>
      </c>
      <c r="BC65" s="48"/>
      <c r="BD65" s="48"/>
      <c r="BE65" s="48"/>
      <c r="BF65" s="48"/>
      <c r="BG65" s="47" t="s">
        <v>905</v>
      </c>
      <c r="BH65" s="48"/>
      <c r="BI65" s="48"/>
      <c r="BJ65" s="48"/>
      <c r="BK65" s="48"/>
      <c r="BL65" s="47" t="s">
        <v>906</v>
      </c>
      <c r="BM65" s="48"/>
      <c r="BN65" s="48"/>
      <c r="BO65" s="48"/>
    </row>
    <row r="66" ht="26.25" customHeight="1">
      <c r="A66" s="44">
        <v>1088.0</v>
      </c>
      <c r="B66" s="45" t="s">
        <v>907</v>
      </c>
      <c r="C66" s="44" t="s">
        <v>96</v>
      </c>
      <c r="D66" s="44" t="s">
        <v>712</v>
      </c>
      <c r="E66" s="44" t="s">
        <v>908</v>
      </c>
      <c r="F66" s="44" t="s">
        <v>909</v>
      </c>
      <c r="G66" s="46">
        <v>35.78217968</v>
      </c>
      <c r="H66" s="46">
        <v>127.5454108</v>
      </c>
      <c r="I66" s="47" t="str">
        <f t="shared" si="1"/>
        <v/>
      </c>
      <c r="J66" s="48">
        <f t="shared" si="2"/>
        <v>0</v>
      </c>
      <c r="K66" s="48" t="str">
        <f>IFERROR(__xludf.DUMMYFUNCTION("REGEXREPLACE(
  INDEX(
    $S$1:$BK$1,
    MATCH(
      MAX(
        MAP($T66:$BI66,$V66:$BK66,LAMBDA(a,c,IF(a=$I66,c)))
      ),
      MAP($T66:$BI66,$V66:$BK66,LAMBDA(a,c,IF(a=$I66,c))),
      0
    )
  ),
  ""^\d+_"",
  """"
)"),"#N/A")</f>
        <v>#N/A</v>
      </c>
      <c r="L66" s="48" t="str">
        <f t="shared" si="3"/>
        <v>#N/A</v>
      </c>
      <c r="M66" s="48" t="str">
        <f t="shared" si="4"/>
        <v>#N/A</v>
      </c>
      <c r="N66" s="47" t="str">
        <f t="shared" si="5"/>
        <v/>
      </c>
      <c r="O66" s="47">
        <f t="shared" si="6"/>
        <v>0</v>
      </c>
      <c r="P66" s="47" t="str">
        <f>IFERROR(__xludf.DUMMYFUNCTION("REGEXREPLACE(
  INDEX(
    {$S$1:$AQ$1,$AW$1:$BF$1},
    MATCH(
      MAX({
        MAP($T66:$AO66,$V66:$AQ66,LAMBDA(a,c,IF(a=$N66,c))),
        MAP($AX66:$BD66,$AZ66:$BF66,LAMBDA(a,c,IF(a=$N66,c)))
      }),
      {
        MAP($T66:$AO66,$V66:$AQ66,LAMB"&amp;"DA(a,c,IF(a=$N66,c))),
        MAP($AX66:$BD66,$AZ66:$BF66,LAMBDA(a,c,IF(a=$N66,c)))
      },
      0
    )
  ),
  ""^\d+_"",
  """"
)"),"#N/A")</f>
        <v>#N/A</v>
      </c>
      <c r="Q66" s="47" t="str">
        <f t="shared" si="7"/>
        <v>#N/A</v>
      </c>
      <c r="R66" s="47" t="str">
        <f t="shared" si="8"/>
        <v>#N/A</v>
      </c>
      <c r="S66" s="47" t="s">
        <v>910</v>
      </c>
      <c r="T66" s="48"/>
      <c r="U66" s="48"/>
      <c r="V66" s="48"/>
      <c r="W66" s="48"/>
      <c r="X66" s="47" t="s">
        <v>911</v>
      </c>
      <c r="Y66" s="48"/>
      <c r="Z66" s="48"/>
      <c r="AA66" s="48"/>
      <c r="AB66" s="48"/>
      <c r="AC66" s="47" t="s">
        <v>912</v>
      </c>
      <c r="AD66" s="48"/>
      <c r="AE66" s="48"/>
      <c r="AF66" s="48"/>
      <c r="AG66" s="48"/>
      <c r="AH66" s="47" t="s">
        <v>913</v>
      </c>
      <c r="AI66" s="48"/>
      <c r="AJ66" s="48"/>
      <c r="AK66" s="48"/>
      <c r="AL66" s="48"/>
      <c r="AM66" s="47" t="s">
        <v>914</v>
      </c>
      <c r="AN66" s="48"/>
      <c r="AO66" s="48"/>
      <c r="AP66" s="48"/>
      <c r="AQ66" s="48"/>
      <c r="AR66" s="47" t="s">
        <v>915</v>
      </c>
      <c r="AS66" s="48"/>
      <c r="AT66" s="48"/>
      <c r="AU66" s="48"/>
      <c r="AV66" s="48"/>
      <c r="AW66" s="47" t="s">
        <v>916</v>
      </c>
      <c r="AX66" s="48"/>
      <c r="AY66" s="48"/>
      <c r="AZ66" s="48"/>
      <c r="BA66" s="48"/>
      <c r="BB66" s="47" t="s">
        <v>917</v>
      </c>
      <c r="BC66" s="48"/>
      <c r="BD66" s="48"/>
      <c r="BE66" s="48"/>
      <c r="BF66" s="48"/>
      <c r="BG66" s="47" t="s">
        <v>918</v>
      </c>
      <c r="BH66" s="48"/>
      <c r="BI66" s="48"/>
      <c r="BJ66" s="48"/>
      <c r="BK66" s="48"/>
      <c r="BL66" s="47" t="s">
        <v>919</v>
      </c>
      <c r="BM66" s="48"/>
      <c r="BN66" s="48"/>
      <c r="BO66" s="48"/>
    </row>
    <row r="67" ht="26.25" customHeight="1">
      <c r="A67" s="44">
        <v>1089.0</v>
      </c>
      <c r="B67" s="45" t="s">
        <v>920</v>
      </c>
      <c r="C67" s="44" t="s">
        <v>96</v>
      </c>
      <c r="D67" s="44" t="s">
        <v>712</v>
      </c>
      <c r="E67" s="44" t="s">
        <v>921</v>
      </c>
      <c r="F67" s="44" t="s">
        <v>922</v>
      </c>
      <c r="G67" s="46">
        <v>35.698027</v>
      </c>
      <c r="H67" s="46">
        <v>127.508357</v>
      </c>
      <c r="I67" s="47" t="str">
        <f t="shared" si="1"/>
        <v/>
      </c>
      <c r="J67" s="48">
        <f t="shared" si="2"/>
        <v>0</v>
      </c>
      <c r="K67" s="48" t="str">
        <f>IFERROR(__xludf.DUMMYFUNCTION("REGEXREPLACE(
  INDEX(
    $S$1:$BK$1,
    MATCH(
      MAX(
        MAP($T67:$BI67,$V67:$BK67,LAMBDA(a,c,IF(a=$I67,c)))
      ),
      MAP($T67:$BI67,$V67:$BK67,LAMBDA(a,c,IF(a=$I67,c))),
      0
    )
  ),
  ""^\d+_"",
  """"
)"),"#N/A")</f>
        <v>#N/A</v>
      </c>
      <c r="L67" s="48" t="str">
        <f t="shared" si="3"/>
        <v>#N/A</v>
      </c>
      <c r="M67" s="48" t="str">
        <f t="shared" si="4"/>
        <v>#N/A</v>
      </c>
      <c r="N67" s="47" t="str">
        <f t="shared" si="5"/>
        <v/>
      </c>
      <c r="O67" s="47">
        <f t="shared" si="6"/>
        <v>0</v>
      </c>
      <c r="P67" s="47" t="str">
        <f>IFERROR(__xludf.DUMMYFUNCTION("REGEXREPLACE(
  INDEX(
    {$S$1:$AQ$1,$AW$1:$BF$1},
    MATCH(
      MAX({
        MAP($T67:$AO67,$V67:$AQ67,LAMBDA(a,c,IF(a=$N67,c))),
        MAP($AX67:$BD67,$AZ67:$BF67,LAMBDA(a,c,IF(a=$N67,c)))
      }),
      {
        MAP($T67:$AO67,$V67:$AQ67,LAMB"&amp;"DA(a,c,IF(a=$N67,c))),
        MAP($AX67:$BD67,$AZ67:$BF67,LAMBDA(a,c,IF(a=$N67,c)))
      },
      0
    )
  ),
  ""^\d+_"",
  """"
)"),"#N/A")</f>
        <v>#N/A</v>
      </c>
      <c r="Q67" s="47" t="str">
        <f t="shared" si="7"/>
        <v>#N/A</v>
      </c>
      <c r="R67" s="47" t="str">
        <f t="shared" si="8"/>
        <v>#N/A</v>
      </c>
      <c r="S67" s="47" t="s">
        <v>923</v>
      </c>
      <c r="T67" s="48"/>
      <c r="U67" s="48"/>
      <c r="V67" s="48"/>
      <c r="W67" s="48"/>
      <c r="X67" s="47" t="s">
        <v>924</v>
      </c>
      <c r="Y67" s="48"/>
      <c r="Z67" s="48"/>
      <c r="AA67" s="48"/>
      <c r="AB67" s="48"/>
      <c r="AC67" s="47" t="s">
        <v>925</v>
      </c>
      <c r="AD67" s="48"/>
      <c r="AE67" s="48"/>
      <c r="AF67" s="48"/>
      <c r="AG67" s="48"/>
      <c r="AH67" s="47" t="s">
        <v>926</v>
      </c>
      <c r="AI67" s="48"/>
      <c r="AJ67" s="48"/>
      <c r="AK67" s="48"/>
      <c r="AL67" s="48"/>
      <c r="AM67" s="47" t="s">
        <v>927</v>
      </c>
      <c r="AN67" s="48"/>
      <c r="AO67" s="48"/>
      <c r="AP67" s="48"/>
      <c r="AQ67" s="48"/>
      <c r="AR67" s="47" t="s">
        <v>928</v>
      </c>
      <c r="AS67" s="48"/>
      <c r="AT67" s="48"/>
      <c r="AU67" s="48"/>
      <c r="AV67" s="48"/>
      <c r="AW67" s="47" t="s">
        <v>929</v>
      </c>
      <c r="AX67" s="48"/>
      <c r="AY67" s="48"/>
      <c r="AZ67" s="48"/>
      <c r="BA67" s="48"/>
      <c r="BB67" s="47" t="s">
        <v>930</v>
      </c>
      <c r="BC67" s="48"/>
      <c r="BD67" s="48"/>
      <c r="BE67" s="48"/>
      <c r="BF67" s="48"/>
      <c r="BG67" s="47" t="s">
        <v>931</v>
      </c>
      <c r="BH67" s="48"/>
      <c r="BI67" s="48"/>
      <c r="BJ67" s="48"/>
      <c r="BK67" s="48"/>
      <c r="BL67" s="47" t="s">
        <v>932</v>
      </c>
      <c r="BM67" s="48"/>
      <c r="BN67" s="48"/>
      <c r="BO67" s="48"/>
    </row>
    <row r="68" ht="26.25" customHeight="1">
      <c r="A68" s="44">
        <v>1090.0</v>
      </c>
      <c r="B68" s="45" t="s">
        <v>933</v>
      </c>
      <c r="C68" s="44" t="s">
        <v>96</v>
      </c>
      <c r="D68" s="44" t="s">
        <v>934</v>
      </c>
      <c r="E68" s="44" t="s">
        <v>935</v>
      </c>
      <c r="F68" s="44" t="s">
        <v>936</v>
      </c>
      <c r="G68" s="46">
        <v>35.859783</v>
      </c>
      <c r="H68" s="46">
        <v>127.591385</v>
      </c>
      <c r="I68" s="47" t="str">
        <f t="shared" si="1"/>
        <v/>
      </c>
      <c r="J68" s="48">
        <f t="shared" si="2"/>
        <v>0</v>
      </c>
      <c r="K68" s="48" t="str">
        <f>IFERROR(__xludf.DUMMYFUNCTION("REGEXREPLACE(
  INDEX(
    $S$1:$BK$1,
    MATCH(
      MAX(
        MAP($T68:$BI68,$V68:$BK68,LAMBDA(a,c,IF(a=$I68,c)))
      ),
      MAP($T68:$BI68,$V68:$BK68,LAMBDA(a,c,IF(a=$I68,c))),
      0
    )
  ),
  ""^\d+_"",
  """"
)"),"#N/A")</f>
        <v>#N/A</v>
      </c>
      <c r="L68" s="48" t="str">
        <f t="shared" si="3"/>
        <v>#N/A</v>
      </c>
      <c r="M68" s="48" t="str">
        <f t="shared" si="4"/>
        <v>#N/A</v>
      </c>
      <c r="N68" s="47" t="str">
        <f t="shared" si="5"/>
        <v/>
      </c>
      <c r="O68" s="47">
        <f t="shared" si="6"/>
        <v>0</v>
      </c>
      <c r="P68" s="47" t="str">
        <f>IFERROR(__xludf.DUMMYFUNCTION("REGEXREPLACE(
  INDEX(
    {$S$1:$AQ$1,$AW$1:$BF$1},
    MATCH(
      MAX({
        MAP($T68:$AO68,$V68:$AQ68,LAMBDA(a,c,IF(a=$N68,c))),
        MAP($AX68:$BD68,$AZ68:$BF68,LAMBDA(a,c,IF(a=$N68,c)))
      }),
      {
        MAP($T68:$AO68,$V68:$AQ68,LAMB"&amp;"DA(a,c,IF(a=$N68,c))),
        MAP($AX68:$BD68,$AZ68:$BF68,LAMBDA(a,c,IF(a=$N68,c)))
      },
      0
    )
  ),
  ""^\d+_"",
  """"
)"),"#N/A")</f>
        <v>#N/A</v>
      </c>
      <c r="Q68" s="47" t="str">
        <f t="shared" si="7"/>
        <v>#N/A</v>
      </c>
      <c r="R68" s="47" t="str">
        <f t="shared" si="8"/>
        <v>#N/A</v>
      </c>
      <c r="S68" s="47" t="s">
        <v>937</v>
      </c>
      <c r="T68" s="48"/>
      <c r="U68" s="48"/>
      <c r="V68" s="48"/>
      <c r="W68" s="48"/>
      <c r="X68" s="47" t="s">
        <v>938</v>
      </c>
      <c r="Y68" s="48"/>
      <c r="Z68" s="48"/>
      <c r="AA68" s="48"/>
      <c r="AB68" s="48"/>
      <c r="AC68" s="47" t="s">
        <v>939</v>
      </c>
      <c r="AD68" s="48"/>
      <c r="AE68" s="48"/>
      <c r="AF68" s="48"/>
      <c r="AG68" s="48"/>
      <c r="AH68" s="47" t="s">
        <v>940</v>
      </c>
      <c r="AI68" s="48"/>
      <c r="AJ68" s="48"/>
      <c r="AK68" s="48"/>
      <c r="AL68" s="48"/>
      <c r="AM68" s="47" t="s">
        <v>941</v>
      </c>
      <c r="AN68" s="48"/>
      <c r="AO68" s="48"/>
      <c r="AP68" s="48"/>
      <c r="AQ68" s="48"/>
      <c r="AR68" s="47" t="s">
        <v>942</v>
      </c>
      <c r="AS68" s="48"/>
      <c r="AT68" s="48"/>
      <c r="AU68" s="48"/>
      <c r="AV68" s="48"/>
      <c r="AW68" s="47" t="s">
        <v>943</v>
      </c>
      <c r="AX68" s="48"/>
      <c r="AY68" s="48"/>
      <c r="AZ68" s="48"/>
      <c r="BA68" s="48"/>
      <c r="BB68" s="47" t="s">
        <v>944</v>
      </c>
      <c r="BC68" s="48"/>
      <c r="BD68" s="48"/>
      <c r="BE68" s="48"/>
      <c r="BF68" s="48"/>
      <c r="BG68" s="47" t="s">
        <v>945</v>
      </c>
      <c r="BH68" s="48"/>
      <c r="BI68" s="48"/>
      <c r="BJ68" s="48"/>
      <c r="BK68" s="48"/>
      <c r="BL68" s="47" t="s">
        <v>946</v>
      </c>
      <c r="BM68" s="48"/>
      <c r="BN68" s="48"/>
      <c r="BO68" s="48"/>
    </row>
    <row r="69" ht="26.25" customHeight="1">
      <c r="A69" s="44">
        <v>1091.0</v>
      </c>
      <c r="B69" s="45" t="s">
        <v>947</v>
      </c>
      <c r="C69" s="44" t="s">
        <v>96</v>
      </c>
      <c r="D69" s="44" t="s">
        <v>934</v>
      </c>
      <c r="E69" s="44" t="s">
        <v>948</v>
      </c>
      <c r="F69" s="44" t="s">
        <v>949</v>
      </c>
      <c r="G69" s="46">
        <v>35.81475332</v>
      </c>
      <c r="H69" s="46">
        <v>127.5525953</v>
      </c>
      <c r="I69" s="47" t="str">
        <f t="shared" si="1"/>
        <v/>
      </c>
      <c r="J69" s="48">
        <f t="shared" si="2"/>
        <v>0</v>
      </c>
      <c r="K69" s="48" t="str">
        <f>IFERROR(__xludf.DUMMYFUNCTION("REGEXREPLACE(
  INDEX(
    $S$1:$BK$1,
    MATCH(
      MAX(
        MAP($T69:$BI69,$V69:$BK69,LAMBDA(a,c,IF(a=$I69,c)))
      ),
      MAP($T69:$BI69,$V69:$BK69,LAMBDA(a,c,IF(a=$I69,c))),
      0
    )
  ),
  ""^\d+_"",
  """"
)"),"#N/A")</f>
        <v>#N/A</v>
      </c>
      <c r="L69" s="48" t="str">
        <f t="shared" si="3"/>
        <v>#N/A</v>
      </c>
      <c r="M69" s="48" t="str">
        <f t="shared" si="4"/>
        <v>#N/A</v>
      </c>
      <c r="N69" s="47" t="str">
        <f t="shared" si="5"/>
        <v/>
      </c>
      <c r="O69" s="47">
        <f t="shared" si="6"/>
        <v>0</v>
      </c>
      <c r="P69" s="47" t="str">
        <f>IFERROR(__xludf.DUMMYFUNCTION("REGEXREPLACE(
  INDEX(
    {$S$1:$AQ$1,$AW$1:$BF$1},
    MATCH(
      MAX({
        MAP($T69:$AO69,$V69:$AQ69,LAMBDA(a,c,IF(a=$N69,c))),
        MAP($AX69:$BD69,$AZ69:$BF69,LAMBDA(a,c,IF(a=$N69,c)))
      }),
      {
        MAP($T69:$AO69,$V69:$AQ69,LAMB"&amp;"DA(a,c,IF(a=$N69,c))),
        MAP($AX69:$BD69,$AZ69:$BF69,LAMBDA(a,c,IF(a=$N69,c)))
      },
      0
    )
  ),
  ""^\d+_"",
  """"
)"),"#N/A")</f>
        <v>#N/A</v>
      </c>
      <c r="Q69" s="47" t="str">
        <f t="shared" si="7"/>
        <v>#N/A</v>
      </c>
      <c r="R69" s="47" t="str">
        <f t="shared" si="8"/>
        <v>#N/A</v>
      </c>
      <c r="S69" s="47" t="s">
        <v>950</v>
      </c>
      <c r="T69" s="48"/>
      <c r="U69" s="48"/>
      <c r="V69" s="48"/>
      <c r="W69" s="48"/>
      <c r="X69" s="47" t="s">
        <v>951</v>
      </c>
      <c r="Y69" s="48"/>
      <c r="Z69" s="48"/>
      <c r="AA69" s="48"/>
      <c r="AB69" s="48"/>
      <c r="AC69" s="47" t="s">
        <v>952</v>
      </c>
      <c r="AD69" s="48"/>
      <c r="AE69" s="48"/>
      <c r="AF69" s="48"/>
      <c r="AG69" s="48"/>
      <c r="AH69" s="47" t="s">
        <v>953</v>
      </c>
      <c r="AI69" s="48"/>
      <c r="AJ69" s="48"/>
      <c r="AK69" s="48"/>
      <c r="AL69" s="48"/>
      <c r="AM69" s="47" t="s">
        <v>954</v>
      </c>
      <c r="AN69" s="48"/>
      <c r="AO69" s="48"/>
      <c r="AP69" s="48"/>
      <c r="AQ69" s="48"/>
      <c r="AR69" s="47" t="s">
        <v>955</v>
      </c>
      <c r="AS69" s="48"/>
      <c r="AT69" s="48"/>
      <c r="AU69" s="48"/>
      <c r="AV69" s="48"/>
      <c r="AW69" s="47" t="s">
        <v>956</v>
      </c>
      <c r="AX69" s="48"/>
      <c r="AY69" s="48"/>
      <c r="AZ69" s="48"/>
      <c r="BA69" s="48"/>
      <c r="BB69" s="47" t="s">
        <v>957</v>
      </c>
      <c r="BC69" s="48"/>
      <c r="BD69" s="48"/>
      <c r="BE69" s="48"/>
      <c r="BF69" s="48"/>
      <c r="BG69" s="47" t="s">
        <v>958</v>
      </c>
      <c r="BH69" s="48"/>
      <c r="BI69" s="48"/>
      <c r="BJ69" s="48"/>
      <c r="BK69" s="48"/>
      <c r="BL69" s="47" t="s">
        <v>959</v>
      </c>
      <c r="BM69" s="48"/>
      <c r="BN69" s="48"/>
      <c r="BO69" s="48"/>
    </row>
    <row r="70" ht="26.25" customHeight="1">
      <c r="A70" s="44">
        <v>1092.0</v>
      </c>
      <c r="B70" s="45" t="s">
        <v>960</v>
      </c>
      <c r="C70" s="44" t="s">
        <v>96</v>
      </c>
      <c r="D70" s="44" t="s">
        <v>934</v>
      </c>
      <c r="E70" s="44" t="s">
        <v>961</v>
      </c>
      <c r="F70" s="44" t="s">
        <v>962</v>
      </c>
      <c r="G70" s="46">
        <v>35.822539</v>
      </c>
      <c r="H70" s="46">
        <v>127.48659</v>
      </c>
      <c r="I70" s="47" t="str">
        <f t="shared" si="1"/>
        <v/>
      </c>
      <c r="J70" s="48">
        <f t="shared" si="2"/>
        <v>0</v>
      </c>
      <c r="K70" s="48" t="str">
        <f>IFERROR(__xludf.DUMMYFUNCTION("REGEXREPLACE(
  INDEX(
    $S$1:$BK$1,
    MATCH(
      MAX(
        MAP($T70:$BI70,$V70:$BK70,LAMBDA(a,c,IF(a=$I70,c)))
      ),
      MAP($T70:$BI70,$V70:$BK70,LAMBDA(a,c,IF(a=$I70,c))),
      0
    )
  ),
  ""^\d+_"",
  """"
)"),"#N/A")</f>
        <v>#N/A</v>
      </c>
      <c r="L70" s="48" t="str">
        <f t="shared" si="3"/>
        <v>#N/A</v>
      </c>
      <c r="M70" s="48" t="str">
        <f t="shared" si="4"/>
        <v>#N/A</v>
      </c>
      <c r="N70" s="47" t="str">
        <f t="shared" si="5"/>
        <v/>
      </c>
      <c r="O70" s="47">
        <f t="shared" si="6"/>
        <v>0</v>
      </c>
      <c r="P70" s="47" t="str">
        <f>IFERROR(__xludf.DUMMYFUNCTION("REGEXREPLACE(
  INDEX(
    {$S$1:$AQ$1,$AW$1:$BF$1},
    MATCH(
      MAX({
        MAP($T70:$AO70,$V70:$AQ70,LAMBDA(a,c,IF(a=$N70,c))),
        MAP($AX70:$BD70,$AZ70:$BF70,LAMBDA(a,c,IF(a=$N70,c)))
      }),
      {
        MAP($T70:$AO70,$V70:$AQ70,LAMB"&amp;"DA(a,c,IF(a=$N70,c))),
        MAP($AX70:$BD70,$AZ70:$BF70,LAMBDA(a,c,IF(a=$N70,c)))
      },
      0
    )
  ),
  ""^\d+_"",
  """"
)"),"#N/A")</f>
        <v>#N/A</v>
      </c>
      <c r="Q70" s="47" t="str">
        <f t="shared" si="7"/>
        <v>#N/A</v>
      </c>
      <c r="R70" s="47" t="str">
        <f t="shared" si="8"/>
        <v>#N/A</v>
      </c>
      <c r="S70" s="47" t="s">
        <v>963</v>
      </c>
      <c r="T70" s="48"/>
      <c r="U70" s="48"/>
      <c r="V70" s="48"/>
      <c r="W70" s="48"/>
      <c r="X70" s="47" t="s">
        <v>964</v>
      </c>
      <c r="Y70" s="48"/>
      <c r="Z70" s="48"/>
      <c r="AA70" s="48"/>
      <c r="AB70" s="48"/>
      <c r="AC70" s="47" t="s">
        <v>965</v>
      </c>
      <c r="AD70" s="48"/>
      <c r="AE70" s="48"/>
      <c r="AF70" s="48"/>
      <c r="AG70" s="48"/>
      <c r="AH70" s="47" t="s">
        <v>966</v>
      </c>
      <c r="AI70" s="48"/>
      <c r="AJ70" s="48"/>
      <c r="AK70" s="48"/>
      <c r="AL70" s="48"/>
      <c r="AM70" s="47" t="s">
        <v>967</v>
      </c>
      <c r="AN70" s="48"/>
      <c r="AO70" s="48"/>
      <c r="AP70" s="48"/>
      <c r="AQ70" s="48"/>
      <c r="AR70" s="47" t="s">
        <v>968</v>
      </c>
      <c r="AS70" s="48"/>
      <c r="AT70" s="48"/>
      <c r="AU70" s="48"/>
      <c r="AV70" s="48"/>
      <c r="AW70" s="47" t="s">
        <v>969</v>
      </c>
      <c r="AX70" s="48"/>
      <c r="AY70" s="48"/>
      <c r="AZ70" s="48"/>
      <c r="BA70" s="48"/>
      <c r="BB70" s="47" t="s">
        <v>970</v>
      </c>
      <c r="BC70" s="48"/>
      <c r="BD70" s="48"/>
      <c r="BE70" s="48"/>
      <c r="BF70" s="48"/>
      <c r="BG70" s="47" t="s">
        <v>971</v>
      </c>
      <c r="BH70" s="48"/>
      <c r="BI70" s="48"/>
      <c r="BJ70" s="48"/>
      <c r="BK70" s="48"/>
      <c r="BL70" s="47" t="s">
        <v>972</v>
      </c>
      <c r="BM70" s="48"/>
      <c r="BN70" s="48"/>
      <c r="BO70" s="48"/>
    </row>
    <row r="71" ht="26.25" customHeight="1">
      <c r="A71" s="44">
        <v>1093.0</v>
      </c>
      <c r="B71" s="45" t="s">
        <v>973</v>
      </c>
      <c r="C71" s="44" t="s">
        <v>96</v>
      </c>
      <c r="D71" s="44" t="s">
        <v>934</v>
      </c>
      <c r="E71" s="44" t="s">
        <v>974</v>
      </c>
      <c r="F71" s="44" t="s">
        <v>975</v>
      </c>
      <c r="G71" s="46">
        <v>35.8955</v>
      </c>
      <c r="H71" s="46">
        <v>127.549003</v>
      </c>
      <c r="I71" s="47" t="str">
        <f t="shared" si="1"/>
        <v/>
      </c>
      <c r="J71" s="48">
        <f t="shared" si="2"/>
        <v>0</v>
      </c>
      <c r="K71" s="48" t="str">
        <f>IFERROR(__xludf.DUMMYFUNCTION("REGEXREPLACE(
  INDEX(
    $S$1:$BK$1,
    MATCH(
      MAX(
        MAP($T71:$BI71,$V71:$BK71,LAMBDA(a,c,IF(a=$I71,c)))
      ),
      MAP($T71:$BI71,$V71:$BK71,LAMBDA(a,c,IF(a=$I71,c))),
      0
    )
  ),
  ""^\d+_"",
  """"
)"),"#N/A")</f>
        <v>#N/A</v>
      </c>
      <c r="L71" s="48" t="str">
        <f t="shared" si="3"/>
        <v>#N/A</v>
      </c>
      <c r="M71" s="48" t="str">
        <f t="shared" si="4"/>
        <v>#N/A</v>
      </c>
      <c r="N71" s="47" t="str">
        <f t="shared" si="5"/>
        <v/>
      </c>
      <c r="O71" s="47">
        <f t="shared" si="6"/>
        <v>0</v>
      </c>
      <c r="P71" s="47" t="str">
        <f>IFERROR(__xludf.DUMMYFUNCTION("REGEXREPLACE(
  INDEX(
    {$S$1:$AQ$1,$AW$1:$BF$1},
    MATCH(
      MAX({
        MAP($T71:$AO71,$V71:$AQ71,LAMBDA(a,c,IF(a=$N71,c))),
        MAP($AX71:$BD71,$AZ71:$BF71,LAMBDA(a,c,IF(a=$N71,c)))
      }),
      {
        MAP($T71:$AO71,$V71:$AQ71,LAMB"&amp;"DA(a,c,IF(a=$N71,c))),
        MAP($AX71:$BD71,$AZ71:$BF71,LAMBDA(a,c,IF(a=$N71,c)))
      },
      0
    )
  ),
  ""^\d+_"",
  """"
)"),"#N/A")</f>
        <v>#N/A</v>
      </c>
      <c r="Q71" s="47" t="str">
        <f t="shared" si="7"/>
        <v>#N/A</v>
      </c>
      <c r="R71" s="47" t="str">
        <f t="shared" si="8"/>
        <v>#N/A</v>
      </c>
      <c r="S71" s="47" t="s">
        <v>976</v>
      </c>
      <c r="T71" s="48"/>
      <c r="U71" s="48"/>
      <c r="V71" s="48"/>
      <c r="W71" s="48"/>
      <c r="X71" s="47" t="s">
        <v>977</v>
      </c>
      <c r="Y71" s="48"/>
      <c r="Z71" s="48"/>
      <c r="AA71" s="48"/>
      <c r="AB71" s="48"/>
      <c r="AC71" s="47" t="s">
        <v>978</v>
      </c>
      <c r="AD71" s="48"/>
      <c r="AE71" s="48"/>
      <c r="AF71" s="48"/>
      <c r="AG71" s="48"/>
      <c r="AH71" s="47" t="s">
        <v>979</v>
      </c>
      <c r="AI71" s="48"/>
      <c r="AJ71" s="48"/>
      <c r="AK71" s="48"/>
      <c r="AL71" s="48"/>
      <c r="AM71" s="47" t="s">
        <v>980</v>
      </c>
      <c r="AN71" s="48"/>
      <c r="AO71" s="48"/>
      <c r="AP71" s="48"/>
      <c r="AQ71" s="48"/>
      <c r="AR71" s="47" t="s">
        <v>981</v>
      </c>
      <c r="AS71" s="48"/>
      <c r="AT71" s="48"/>
      <c r="AU71" s="48"/>
      <c r="AV71" s="48"/>
      <c r="AW71" s="47" t="s">
        <v>982</v>
      </c>
      <c r="AX71" s="48"/>
      <c r="AY71" s="48"/>
      <c r="AZ71" s="48"/>
      <c r="BA71" s="48"/>
      <c r="BB71" s="47" t="s">
        <v>983</v>
      </c>
      <c r="BC71" s="48"/>
      <c r="BD71" s="48"/>
      <c r="BE71" s="48"/>
      <c r="BF71" s="48"/>
      <c r="BG71" s="47" t="s">
        <v>984</v>
      </c>
      <c r="BH71" s="48"/>
      <c r="BI71" s="48"/>
      <c r="BJ71" s="48"/>
      <c r="BK71" s="48"/>
      <c r="BL71" s="47" t="s">
        <v>985</v>
      </c>
      <c r="BM71" s="48"/>
      <c r="BN71" s="48"/>
      <c r="BO71" s="48"/>
    </row>
    <row r="72" ht="26.25" customHeight="1">
      <c r="A72" s="44">
        <v>1094.0</v>
      </c>
      <c r="B72" s="45" t="s">
        <v>986</v>
      </c>
      <c r="C72" s="44" t="s">
        <v>96</v>
      </c>
      <c r="D72" s="44" t="s">
        <v>934</v>
      </c>
      <c r="E72" s="44" t="s">
        <v>987</v>
      </c>
      <c r="F72" s="44" t="s">
        <v>988</v>
      </c>
      <c r="G72" s="46">
        <v>35.966634</v>
      </c>
      <c r="H72" s="46">
        <v>127.520095</v>
      </c>
      <c r="I72" s="47" t="str">
        <f t="shared" si="1"/>
        <v/>
      </c>
      <c r="J72" s="48">
        <f t="shared" si="2"/>
        <v>0</v>
      </c>
      <c r="K72" s="48" t="str">
        <f>IFERROR(__xludf.DUMMYFUNCTION("REGEXREPLACE(
  INDEX(
    $S$1:$BK$1,
    MATCH(
      MAX(
        MAP($T72:$BI72,$V72:$BK72,LAMBDA(a,c,IF(a=$I72,c)))
      ),
      MAP($T72:$BI72,$V72:$BK72,LAMBDA(a,c,IF(a=$I72,c))),
      0
    )
  ),
  ""^\d+_"",
  """"
)"),"#N/A")</f>
        <v>#N/A</v>
      </c>
      <c r="L72" s="48" t="str">
        <f t="shared" si="3"/>
        <v>#N/A</v>
      </c>
      <c r="M72" s="48" t="str">
        <f t="shared" si="4"/>
        <v>#N/A</v>
      </c>
      <c r="N72" s="47" t="str">
        <f t="shared" si="5"/>
        <v/>
      </c>
      <c r="O72" s="47">
        <f t="shared" si="6"/>
        <v>0</v>
      </c>
      <c r="P72" s="47" t="str">
        <f>IFERROR(__xludf.DUMMYFUNCTION("REGEXREPLACE(
  INDEX(
    {$S$1:$AQ$1,$AW$1:$BF$1},
    MATCH(
      MAX({
        MAP($T72:$AO72,$V72:$AQ72,LAMBDA(a,c,IF(a=$N72,c))),
        MAP($AX72:$BD72,$AZ72:$BF72,LAMBDA(a,c,IF(a=$N72,c)))
      }),
      {
        MAP($T72:$AO72,$V72:$AQ72,LAMB"&amp;"DA(a,c,IF(a=$N72,c))),
        MAP($AX72:$BD72,$AZ72:$BF72,LAMBDA(a,c,IF(a=$N72,c)))
      },
      0
    )
  ),
  ""^\d+_"",
  """"
)"),"#N/A")</f>
        <v>#N/A</v>
      </c>
      <c r="Q72" s="47" t="str">
        <f t="shared" si="7"/>
        <v>#N/A</v>
      </c>
      <c r="R72" s="47" t="str">
        <f t="shared" si="8"/>
        <v>#N/A</v>
      </c>
      <c r="S72" s="47" t="s">
        <v>989</v>
      </c>
      <c r="T72" s="48"/>
      <c r="U72" s="48"/>
      <c r="V72" s="48"/>
      <c r="W72" s="48"/>
      <c r="X72" s="47" t="s">
        <v>990</v>
      </c>
      <c r="Y72" s="48"/>
      <c r="Z72" s="48"/>
      <c r="AA72" s="48"/>
      <c r="AB72" s="48"/>
      <c r="AC72" s="47" t="s">
        <v>991</v>
      </c>
      <c r="AD72" s="48"/>
      <c r="AE72" s="48"/>
      <c r="AF72" s="48"/>
      <c r="AG72" s="48"/>
      <c r="AH72" s="47" t="s">
        <v>992</v>
      </c>
      <c r="AI72" s="48"/>
      <c r="AJ72" s="48"/>
      <c r="AK72" s="48"/>
      <c r="AL72" s="48"/>
      <c r="AM72" s="47" t="s">
        <v>993</v>
      </c>
      <c r="AN72" s="48"/>
      <c r="AO72" s="48"/>
      <c r="AP72" s="48"/>
      <c r="AQ72" s="48"/>
      <c r="AR72" s="47" t="s">
        <v>994</v>
      </c>
      <c r="AS72" s="48"/>
      <c r="AT72" s="48"/>
      <c r="AU72" s="48"/>
      <c r="AV72" s="48"/>
      <c r="AW72" s="47" t="s">
        <v>995</v>
      </c>
      <c r="AX72" s="48"/>
      <c r="AY72" s="48"/>
      <c r="AZ72" s="48"/>
      <c r="BA72" s="48"/>
      <c r="BB72" s="47" t="s">
        <v>996</v>
      </c>
      <c r="BC72" s="48"/>
      <c r="BD72" s="48"/>
      <c r="BE72" s="48"/>
      <c r="BF72" s="48"/>
      <c r="BG72" s="47" t="s">
        <v>997</v>
      </c>
      <c r="BH72" s="48"/>
      <c r="BI72" s="48"/>
      <c r="BJ72" s="48"/>
      <c r="BK72" s="48"/>
      <c r="BL72" s="47" t="s">
        <v>998</v>
      </c>
      <c r="BM72" s="48"/>
      <c r="BN72" s="48"/>
      <c r="BO72" s="48"/>
    </row>
    <row r="73" ht="26.25" customHeight="1">
      <c r="A73" s="44">
        <v>1095.0</v>
      </c>
      <c r="B73" s="45" t="s">
        <v>999</v>
      </c>
      <c r="C73" s="44" t="s">
        <v>96</v>
      </c>
      <c r="D73" s="44" t="s">
        <v>934</v>
      </c>
      <c r="E73" s="44" t="s">
        <v>1000</v>
      </c>
      <c r="F73" s="44" t="s">
        <v>1001</v>
      </c>
      <c r="G73" s="46">
        <v>35.89705572</v>
      </c>
      <c r="H73" s="46">
        <v>127.4823221</v>
      </c>
      <c r="I73" s="47" t="str">
        <f t="shared" si="1"/>
        <v/>
      </c>
      <c r="J73" s="48">
        <f t="shared" si="2"/>
        <v>0</v>
      </c>
      <c r="K73" s="48" t="str">
        <f>IFERROR(__xludf.DUMMYFUNCTION("REGEXREPLACE(
  INDEX(
    $S$1:$BK$1,
    MATCH(
      MAX(
        MAP($T73:$BI73,$V73:$BK73,LAMBDA(a,c,IF(a=$I73,c)))
      ),
      MAP($T73:$BI73,$V73:$BK73,LAMBDA(a,c,IF(a=$I73,c))),
      0
    )
  ),
  ""^\d+_"",
  """"
)"),"#N/A")</f>
        <v>#N/A</v>
      </c>
      <c r="L73" s="48" t="str">
        <f t="shared" si="3"/>
        <v>#N/A</v>
      </c>
      <c r="M73" s="48" t="str">
        <f t="shared" si="4"/>
        <v>#N/A</v>
      </c>
      <c r="N73" s="47" t="str">
        <f t="shared" si="5"/>
        <v/>
      </c>
      <c r="O73" s="47">
        <f t="shared" si="6"/>
        <v>0</v>
      </c>
      <c r="P73" s="47" t="str">
        <f>IFERROR(__xludf.DUMMYFUNCTION("REGEXREPLACE(
  INDEX(
    {$S$1:$AQ$1,$AW$1:$BF$1},
    MATCH(
      MAX({
        MAP($T73:$AO73,$V73:$AQ73,LAMBDA(a,c,IF(a=$N73,c))),
        MAP($AX73:$BD73,$AZ73:$BF73,LAMBDA(a,c,IF(a=$N73,c)))
      }),
      {
        MAP($T73:$AO73,$V73:$AQ73,LAMB"&amp;"DA(a,c,IF(a=$N73,c))),
        MAP($AX73:$BD73,$AZ73:$BF73,LAMBDA(a,c,IF(a=$N73,c)))
      },
      0
    )
  ),
  ""^\d+_"",
  """"
)"),"#N/A")</f>
        <v>#N/A</v>
      </c>
      <c r="Q73" s="47" t="str">
        <f t="shared" si="7"/>
        <v>#N/A</v>
      </c>
      <c r="R73" s="47" t="str">
        <f t="shared" si="8"/>
        <v>#N/A</v>
      </c>
      <c r="S73" s="47" t="s">
        <v>1002</v>
      </c>
      <c r="T73" s="48"/>
      <c r="U73" s="48"/>
      <c r="V73" s="48"/>
      <c r="W73" s="48"/>
      <c r="X73" s="47" t="s">
        <v>1003</v>
      </c>
      <c r="Y73" s="48"/>
      <c r="Z73" s="48"/>
      <c r="AA73" s="48"/>
      <c r="AB73" s="48"/>
      <c r="AC73" s="47" t="s">
        <v>1004</v>
      </c>
      <c r="AD73" s="48"/>
      <c r="AE73" s="48"/>
      <c r="AF73" s="48"/>
      <c r="AG73" s="48"/>
      <c r="AH73" s="47" t="s">
        <v>1005</v>
      </c>
      <c r="AI73" s="48"/>
      <c r="AJ73" s="48"/>
      <c r="AK73" s="48"/>
      <c r="AL73" s="48"/>
      <c r="AM73" s="47" t="s">
        <v>1006</v>
      </c>
      <c r="AN73" s="48"/>
      <c r="AO73" s="48"/>
      <c r="AP73" s="48"/>
      <c r="AQ73" s="48"/>
      <c r="AR73" s="47" t="s">
        <v>1007</v>
      </c>
      <c r="AS73" s="48"/>
      <c r="AT73" s="48"/>
      <c r="AU73" s="48"/>
      <c r="AV73" s="48"/>
      <c r="AW73" s="47" t="s">
        <v>1008</v>
      </c>
      <c r="AX73" s="48"/>
      <c r="AY73" s="48"/>
      <c r="AZ73" s="48"/>
      <c r="BA73" s="48"/>
      <c r="BB73" s="47" t="s">
        <v>1009</v>
      </c>
      <c r="BC73" s="48"/>
      <c r="BD73" s="48"/>
      <c r="BE73" s="48"/>
      <c r="BF73" s="48"/>
      <c r="BG73" s="47" t="s">
        <v>1010</v>
      </c>
      <c r="BH73" s="48"/>
      <c r="BI73" s="48"/>
      <c r="BJ73" s="48"/>
      <c r="BK73" s="48"/>
      <c r="BL73" s="47" t="s">
        <v>1011</v>
      </c>
      <c r="BM73" s="48"/>
      <c r="BN73" s="48"/>
      <c r="BO73" s="48"/>
    </row>
    <row r="74" ht="26.25" customHeight="1">
      <c r="A74" s="44">
        <v>1096.0</v>
      </c>
      <c r="B74" s="45" t="s">
        <v>1012</v>
      </c>
      <c r="C74" s="44" t="s">
        <v>96</v>
      </c>
      <c r="D74" s="44" t="s">
        <v>934</v>
      </c>
      <c r="E74" s="44" t="s">
        <v>1013</v>
      </c>
      <c r="F74" s="44" t="s">
        <v>1014</v>
      </c>
      <c r="G74" s="46">
        <v>35.87263</v>
      </c>
      <c r="H74" s="46">
        <v>127.435201</v>
      </c>
      <c r="I74" s="47" t="str">
        <f t="shared" si="1"/>
        <v/>
      </c>
      <c r="J74" s="48">
        <f t="shared" si="2"/>
        <v>0</v>
      </c>
      <c r="K74" s="48" t="str">
        <f>IFERROR(__xludf.DUMMYFUNCTION("REGEXREPLACE(
  INDEX(
    $S$1:$BK$1,
    MATCH(
      MAX(
        MAP($T74:$BI74,$V74:$BK74,LAMBDA(a,c,IF(a=$I74,c)))
      ),
      MAP($T74:$BI74,$V74:$BK74,LAMBDA(a,c,IF(a=$I74,c))),
      0
    )
  ),
  ""^\d+_"",
  """"
)"),"#N/A")</f>
        <v>#N/A</v>
      </c>
      <c r="L74" s="48" t="str">
        <f t="shared" si="3"/>
        <v>#N/A</v>
      </c>
      <c r="M74" s="48" t="str">
        <f t="shared" si="4"/>
        <v>#N/A</v>
      </c>
      <c r="N74" s="47" t="str">
        <f t="shared" si="5"/>
        <v/>
      </c>
      <c r="O74" s="47">
        <f t="shared" si="6"/>
        <v>0</v>
      </c>
      <c r="P74" s="47" t="str">
        <f>IFERROR(__xludf.DUMMYFUNCTION("REGEXREPLACE(
  INDEX(
    {$S$1:$AQ$1,$AW$1:$BF$1},
    MATCH(
      MAX({
        MAP($T74:$AO74,$V74:$AQ74,LAMBDA(a,c,IF(a=$N74,c))),
        MAP($AX74:$BD74,$AZ74:$BF74,LAMBDA(a,c,IF(a=$N74,c)))
      }),
      {
        MAP($T74:$AO74,$V74:$AQ74,LAMB"&amp;"DA(a,c,IF(a=$N74,c))),
        MAP($AX74:$BD74,$AZ74:$BF74,LAMBDA(a,c,IF(a=$N74,c)))
      },
      0
    )
  ),
  ""^\d+_"",
  """"
)"),"#N/A")</f>
        <v>#N/A</v>
      </c>
      <c r="Q74" s="47" t="str">
        <f t="shared" si="7"/>
        <v>#N/A</v>
      </c>
      <c r="R74" s="47" t="str">
        <f t="shared" si="8"/>
        <v>#N/A</v>
      </c>
      <c r="S74" s="47" t="s">
        <v>1015</v>
      </c>
      <c r="T74" s="48"/>
      <c r="U74" s="48"/>
      <c r="V74" s="48"/>
      <c r="W74" s="48"/>
      <c r="X74" s="47" t="s">
        <v>1016</v>
      </c>
      <c r="Y74" s="48"/>
      <c r="Z74" s="48"/>
      <c r="AA74" s="48"/>
      <c r="AB74" s="48"/>
      <c r="AC74" s="47" t="s">
        <v>1017</v>
      </c>
      <c r="AD74" s="48"/>
      <c r="AE74" s="48"/>
      <c r="AF74" s="48"/>
      <c r="AG74" s="48"/>
      <c r="AH74" s="47" t="s">
        <v>1018</v>
      </c>
      <c r="AI74" s="48"/>
      <c r="AJ74" s="48"/>
      <c r="AK74" s="48"/>
      <c r="AL74" s="48"/>
      <c r="AM74" s="47" t="s">
        <v>1019</v>
      </c>
      <c r="AN74" s="48"/>
      <c r="AO74" s="48"/>
      <c r="AP74" s="48"/>
      <c r="AQ74" s="48"/>
      <c r="AR74" s="47" t="s">
        <v>1020</v>
      </c>
      <c r="AS74" s="48"/>
      <c r="AT74" s="48"/>
      <c r="AU74" s="48"/>
      <c r="AV74" s="48"/>
      <c r="AW74" s="47" t="s">
        <v>1021</v>
      </c>
      <c r="AX74" s="48"/>
      <c r="AY74" s="48"/>
      <c r="AZ74" s="48"/>
      <c r="BA74" s="48"/>
      <c r="BB74" s="47" t="s">
        <v>1022</v>
      </c>
      <c r="BC74" s="48"/>
      <c r="BD74" s="48"/>
      <c r="BE74" s="48"/>
      <c r="BF74" s="48"/>
      <c r="BG74" s="47" t="s">
        <v>1023</v>
      </c>
      <c r="BH74" s="48"/>
      <c r="BI74" s="48"/>
      <c r="BJ74" s="48"/>
      <c r="BK74" s="48"/>
      <c r="BL74" s="47" t="s">
        <v>1024</v>
      </c>
      <c r="BM74" s="48"/>
      <c r="BN74" s="48"/>
      <c r="BO74" s="48"/>
    </row>
    <row r="75" ht="26.25" customHeight="1">
      <c r="A75" s="44">
        <v>1097.0</v>
      </c>
      <c r="B75" s="45" t="s">
        <v>1025</v>
      </c>
      <c r="C75" s="44" t="s">
        <v>96</v>
      </c>
      <c r="D75" s="44" t="s">
        <v>934</v>
      </c>
      <c r="E75" s="44" t="s">
        <v>1026</v>
      </c>
      <c r="F75" s="44" t="s">
        <v>1027</v>
      </c>
      <c r="G75" s="46">
        <v>35.92030534</v>
      </c>
      <c r="H75" s="46">
        <v>127.4349124</v>
      </c>
      <c r="I75" s="47" t="str">
        <f t="shared" si="1"/>
        <v/>
      </c>
      <c r="J75" s="48">
        <f t="shared" si="2"/>
        <v>0</v>
      </c>
      <c r="K75" s="48" t="str">
        <f>IFERROR(__xludf.DUMMYFUNCTION("REGEXREPLACE(
  INDEX(
    $S$1:$BK$1,
    MATCH(
      MAX(
        MAP($T75:$BI75,$V75:$BK75,LAMBDA(a,c,IF(a=$I75,c)))
      ),
      MAP($T75:$BI75,$V75:$BK75,LAMBDA(a,c,IF(a=$I75,c))),
      0
    )
  ),
  ""^\d+_"",
  """"
)"),"#N/A")</f>
        <v>#N/A</v>
      </c>
      <c r="L75" s="48" t="str">
        <f t="shared" si="3"/>
        <v>#N/A</v>
      </c>
      <c r="M75" s="48" t="str">
        <f t="shared" si="4"/>
        <v>#N/A</v>
      </c>
      <c r="N75" s="47" t="str">
        <f t="shared" si="5"/>
        <v/>
      </c>
      <c r="O75" s="47">
        <f t="shared" si="6"/>
        <v>0</v>
      </c>
      <c r="P75" s="47" t="str">
        <f>IFERROR(__xludf.DUMMYFUNCTION("REGEXREPLACE(
  INDEX(
    {$S$1:$AQ$1,$AW$1:$BF$1},
    MATCH(
      MAX({
        MAP($T75:$AO75,$V75:$AQ75,LAMBDA(a,c,IF(a=$N75,c))),
        MAP($AX75:$BD75,$AZ75:$BF75,LAMBDA(a,c,IF(a=$N75,c)))
      }),
      {
        MAP($T75:$AO75,$V75:$AQ75,LAMB"&amp;"DA(a,c,IF(a=$N75,c))),
        MAP($AX75:$BD75,$AZ75:$BF75,LAMBDA(a,c,IF(a=$N75,c)))
      },
      0
    )
  ),
  ""^\d+_"",
  """"
)"),"#N/A")</f>
        <v>#N/A</v>
      </c>
      <c r="Q75" s="47" t="str">
        <f t="shared" si="7"/>
        <v>#N/A</v>
      </c>
      <c r="R75" s="47" t="str">
        <f t="shared" si="8"/>
        <v>#N/A</v>
      </c>
      <c r="S75" s="47" t="s">
        <v>1028</v>
      </c>
      <c r="T75" s="48"/>
      <c r="U75" s="48"/>
      <c r="V75" s="48"/>
      <c r="W75" s="48"/>
      <c r="X75" s="47" t="s">
        <v>1029</v>
      </c>
      <c r="Y75" s="48"/>
      <c r="Z75" s="48"/>
      <c r="AA75" s="48"/>
      <c r="AB75" s="48"/>
      <c r="AC75" s="47" t="s">
        <v>1030</v>
      </c>
      <c r="AD75" s="48"/>
      <c r="AE75" s="48"/>
      <c r="AF75" s="48"/>
      <c r="AG75" s="48"/>
      <c r="AH75" s="47" t="s">
        <v>1031</v>
      </c>
      <c r="AI75" s="48"/>
      <c r="AJ75" s="48"/>
      <c r="AK75" s="48"/>
      <c r="AL75" s="48"/>
      <c r="AM75" s="47" t="s">
        <v>1032</v>
      </c>
      <c r="AN75" s="48"/>
      <c r="AO75" s="48"/>
      <c r="AP75" s="48"/>
      <c r="AQ75" s="48"/>
      <c r="AR75" s="47" t="s">
        <v>1033</v>
      </c>
      <c r="AS75" s="48"/>
      <c r="AT75" s="48"/>
      <c r="AU75" s="48"/>
      <c r="AV75" s="48"/>
      <c r="AW75" s="47" t="s">
        <v>1034</v>
      </c>
      <c r="AX75" s="48"/>
      <c r="AY75" s="48"/>
      <c r="AZ75" s="48"/>
      <c r="BA75" s="48"/>
      <c r="BB75" s="47" t="s">
        <v>1035</v>
      </c>
      <c r="BC75" s="48"/>
      <c r="BD75" s="48"/>
      <c r="BE75" s="48"/>
      <c r="BF75" s="48"/>
      <c r="BG75" s="47" t="s">
        <v>1036</v>
      </c>
      <c r="BH75" s="48"/>
      <c r="BI75" s="48"/>
      <c r="BJ75" s="48"/>
      <c r="BK75" s="48"/>
      <c r="BL75" s="47" t="s">
        <v>1037</v>
      </c>
      <c r="BM75" s="48"/>
      <c r="BN75" s="48"/>
      <c r="BO75" s="48"/>
    </row>
    <row r="76" ht="26.25" customHeight="1">
      <c r="A76" s="44">
        <v>1098.0</v>
      </c>
      <c r="B76" s="45" t="s">
        <v>1038</v>
      </c>
      <c r="C76" s="44" t="s">
        <v>96</v>
      </c>
      <c r="D76" s="44" t="s">
        <v>934</v>
      </c>
      <c r="E76" s="44" t="s">
        <v>1039</v>
      </c>
      <c r="F76" s="44" t="s">
        <v>1040</v>
      </c>
      <c r="G76" s="46">
        <v>35.97912612</v>
      </c>
      <c r="H76" s="46">
        <v>127.4299875</v>
      </c>
      <c r="I76" s="47" t="str">
        <f t="shared" si="1"/>
        <v/>
      </c>
      <c r="J76" s="48">
        <f t="shared" si="2"/>
        <v>0</v>
      </c>
      <c r="K76" s="48" t="str">
        <f>IFERROR(__xludf.DUMMYFUNCTION("REGEXREPLACE(
  INDEX(
    $S$1:$BK$1,
    MATCH(
      MAX(
        MAP($T76:$BI76,$V76:$BK76,LAMBDA(a,c,IF(a=$I76,c)))
      ),
      MAP($T76:$BI76,$V76:$BK76,LAMBDA(a,c,IF(a=$I76,c))),
      0
    )
  ),
  ""^\d+_"",
  """"
)"),"#N/A")</f>
        <v>#N/A</v>
      </c>
      <c r="L76" s="48" t="str">
        <f t="shared" si="3"/>
        <v>#N/A</v>
      </c>
      <c r="M76" s="48" t="str">
        <f t="shared" si="4"/>
        <v>#N/A</v>
      </c>
      <c r="N76" s="47" t="str">
        <f t="shared" si="5"/>
        <v/>
      </c>
      <c r="O76" s="47">
        <f t="shared" si="6"/>
        <v>0</v>
      </c>
      <c r="P76" s="47" t="str">
        <f>IFERROR(__xludf.DUMMYFUNCTION("REGEXREPLACE(
  INDEX(
    {$S$1:$AQ$1,$AW$1:$BF$1},
    MATCH(
      MAX({
        MAP($T76:$AO76,$V76:$AQ76,LAMBDA(a,c,IF(a=$N76,c))),
        MAP($AX76:$BD76,$AZ76:$BF76,LAMBDA(a,c,IF(a=$N76,c)))
      }),
      {
        MAP($T76:$AO76,$V76:$AQ76,LAMB"&amp;"DA(a,c,IF(a=$N76,c))),
        MAP($AX76:$BD76,$AZ76:$BF76,LAMBDA(a,c,IF(a=$N76,c)))
      },
      0
    )
  ),
  ""^\d+_"",
  """"
)"),"#N/A")</f>
        <v>#N/A</v>
      </c>
      <c r="Q76" s="47" t="str">
        <f t="shared" si="7"/>
        <v>#N/A</v>
      </c>
      <c r="R76" s="47" t="str">
        <f t="shared" si="8"/>
        <v>#N/A</v>
      </c>
      <c r="S76" s="47" t="s">
        <v>1041</v>
      </c>
      <c r="T76" s="48"/>
      <c r="U76" s="48"/>
      <c r="V76" s="48"/>
      <c r="W76" s="48"/>
      <c r="X76" s="47" t="s">
        <v>1042</v>
      </c>
      <c r="Y76" s="48"/>
      <c r="Z76" s="48"/>
      <c r="AA76" s="48"/>
      <c r="AB76" s="48"/>
      <c r="AC76" s="47" t="s">
        <v>1043</v>
      </c>
      <c r="AD76" s="48"/>
      <c r="AE76" s="48"/>
      <c r="AF76" s="48"/>
      <c r="AG76" s="48"/>
      <c r="AH76" s="47" t="s">
        <v>1044</v>
      </c>
      <c r="AI76" s="48"/>
      <c r="AJ76" s="48"/>
      <c r="AK76" s="48"/>
      <c r="AL76" s="48"/>
      <c r="AM76" s="47" t="s">
        <v>1045</v>
      </c>
      <c r="AN76" s="48"/>
      <c r="AO76" s="48"/>
      <c r="AP76" s="48"/>
      <c r="AQ76" s="48"/>
      <c r="AR76" s="47" t="s">
        <v>1046</v>
      </c>
      <c r="AS76" s="48"/>
      <c r="AT76" s="48"/>
      <c r="AU76" s="48"/>
      <c r="AV76" s="48"/>
      <c r="AW76" s="47" t="s">
        <v>1047</v>
      </c>
      <c r="AX76" s="48"/>
      <c r="AY76" s="48"/>
      <c r="AZ76" s="48"/>
      <c r="BA76" s="48"/>
      <c r="BB76" s="47" t="s">
        <v>1048</v>
      </c>
      <c r="BC76" s="48"/>
      <c r="BD76" s="48"/>
      <c r="BE76" s="48"/>
      <c r="BF76" s="48"/>
      <c r="BG76" s="47" t="s">
        <v>1049</v>
      </c>
      <c r="BH76" s="48"/>
      <c r="BI76" s="48"/>
      <c r="BJ76" s="48"/>
      <c r="BK76" s="48"/>
      <c r="BL76" s="47" t="s">
        <v>1050</v>
      </c>
      <c r="BM76" s="48"/>
      <c r="BN76" s="48"/>
      <c r="BO76" s="48"/>
    </row>
    <row r="77" ht="26.25" customHeight="1">
      <c r="A77" s="44">
        <v>1099.0</v>
      </c>
      <c r="B77" s="45" t="s">
        <v>1051</v>
      </c>
      <c r="C77" s="44" t="s">
        <v>96</v>
      </c>
      <c r="D77" s="44" t="s">
        <v>934</v>
      </c>
      <c r="E77" s="44" t="s">
        <v>1052</v>
      </c>
      <c r="F77" s="44" t="s">
        <v>1053</v>
      </c>
      <c r="G77" s="46">
        <v>35.77386616</v>
      </c>
      <c r="H77" s="46">
        <v>127.4516108</v>
      </c>
      <c r="I77" s="47" t="str">
        <f t="shared" si="1"/>
        <v/>
      </c>
      <c r="J77" s="48">
        <f t="shared" si="2"/>
        <v>0</v>
      </c>
      <c r="K77" s="48" t="str">
        <f>IFERROR(__xludf.DUMMYFUNCTION("REGEXREPLACE(
  INDEX(
    $S$1:$BK$1,
    MATCH(
      MAX(
        MAP($T77:$BI77,$V77:$BK77,LAMBDA(a,c,IF(a=$I77,c)))
      ),
      MAP($T77:$BI77,$V77:$BK77,LAMBDA(a,c,IF(a=$I77,c))),
      0
    )
  ),
  ""^\d+_"",
  """"
)"),"#N/A")</f>
        <v>#N/A</v>
      </c>
      <c r="L77" s="48" t="str">
        <f t="shared" si="3"/>
        <v>#N/A</v>
      </c>
      <c r="M77" s="48" t="str">
        <f t="shared" si="4"/>
        <v>#N/A</v>
      </c>
      <c r="N77" s="47" t="str">
        <f t="shared" si="5"/>
        <v/>
      </c>
      <c r="O77" s="47">
        <f t="shared" si="6"/>
        <v>0</v>
      </c>
      <c r="P77" s="47" t="str">
        <f>IFERROR(__xludf.DUMMYFUNCTION("REGEXREPLACE(
  INDEX(
    {$S$1:$AQ$1,$AW$1:$BF$1},
    MATCH(
      MAX({
        MAP($T77:$AO77,$V77:$AQ77,LAMBDA(a,c,IF(a=$N77,c))),
        MAP($AX77:$BD77,$AZ77:$BF77,LAMBDA(a,c,IF(a=$N77,c)))
      }),
      {
        MAP($T77:$AO77,$V77:$AQ77,LAMB"&amp;"DA(a,c,IF(a=$N77,c))),
        MAP($AX77:$BD77,$AZ77:$BF77,LAMBDA(a,c,IF(a=$N77,c)))
      },
      0
    )
  ),
  ""^\d+_"",
  """"
)"),"#N/A")</f>
        <v>#N/A</v>
      </c>
      <c r="Q77" s="47" t="str">
        <f t="shared" si="7"/>
        <v>#N/A</v>
      </c>
      <c r="R77" s="47" t="str">
        <f t="shared" si="8"/>
        <v>#N/A</v>
      </c>
      <c r="S77" s="47" t="s">
        <v>1054</v>
      </c>
      <c r="T77" s="48"/>
      <c r="U77" s="48"/>
      <c r="V77" s="48"/>
      <c r="W77" s="48"/>
      <c r="X77" s="47" t="s">
        <v>1055</v>
      </c>
      <c r="Y77" s="48"/>
      <c r="Z77" s="48"/>
      <c r="AA77" s="48"/>
      <c r="AB77" s="48"/>
      <c r="AC77" s="47" t="s">
        <v>1056</v>
      </c>
      <c r="AD77" s="48"/>
      <c r="AE77" s="48"/>
      <c r="AF77" s="48"/>
      <c r="AG77" s="48"/>
      <c r="AH77" s="47" t="s">
        <v>1057</v>
      </c>
      <c r="AI77" s="48"/>
      <c r="AJ77" s="48"/>
      <c r="AK77" s="48"/>
      <c r="AL77" s="48"/>
      <c r="AM77" s="47" t="s">
        <v>1058</v>
      </c>
      <c r="AN77" s="48"/>
      <c r="AO77" s="48"/>
      <c r="AP77" s="48"/>
      <c r="AQ77" s="48"/>
      <c r="AR77" s="47" t="s">
        <v>1059</v>
      </c>
      <c r="AS77" s="48"/>
      <c r="AT77" s="48"/>
      <c r="AU77" s="48"/>
      <c r="AV77" s="48"/>
      <c r="AW77" s="47" t="s">
        <v>1060</v>
      </c>
      <c r="AX77" s="48"/>
      <c r="AY77" s="48"/>
      <c r="AZ77" s="48"/>
      <c r="BA77" s="48"/>
      <c r="BB77" s="47" t="s">
        <v>1061</v>
      </c>
      <c r="BC77" s="48"/>
      <c r="BD77" s="48"/>
      <c r="BE77" s="48"/>
      <c r="BF77" s="48"/>
      <c r="BG77" s="47" t="s">
        <v>1062</v>
      </c>
      <c r="BH77" s="48"/>
      <c r="BI77" s="48"/>
      <c r="BJ77" s="48"/>
      <c r="BK77" s="48"/>
      <c r="BL77" s="47" t="s">
        <v>1063</v>
      </c>
      <c r="BM77" s="48"/>
      <c r="BN77" s="48"/>
      <c r="BO77" s="48"/>
    </row>
    <row r="78" ht="26.25" customHeight="1">
      <c r="A78" s="44">
        <v>1100.0</v>
      </c>
      <c r="B78" s="45" t="s">
        <v>1064</v>
      </c>
      <c r="C78" s="44" t="s">
        <v>96</v>
      </c>
      <c r="D78" s="44" t="s">
        <v>934</v>
      </c>
      <c r="E78" s="44" t="s">
        <v>1065</v>
      </c>
      <c r="F78" s="44" t="s">
        <v>1066</v>
      </c>
      <c r="G78" s="46">
        <v>35.77587707</v>
      </c>
      <c r="H78" s="46">
        <v>127.4961825</v>
      </c>
      <c r="I78" s="47" t="str">
        <f t="shared" si="1"/>
        <v/>
      </c>
      <c r="J78" s="48">
        <f t="shared" si="2"/>
        <v>0</v>
      </c>
      <c r="K78" s="48" t="str">
        <f>IFERROR(__xludf.DUMMYFUNCTION("REGEXREPLACE(
  INDEX(
    $S$1:$BK$1,
    MATCH(
      MAX(
        MAP($T78:$BI78,$V78:$BK78,LAMBDA(a,c,IF(a=$I78,c)))
      ),
      MAP($T78:$BI78,$V78:$BK78,LAMBDA(a,c,IF(a=$I78,c))),
      0
    )
  ),
  ""^\d+_"",
  """"
)"),"#N/A")</f>
        <v>#N/A</v>
      </c>
      <c r="L78" s="48" t="str">
        <f t="shared" si="3"/>
        <v>#N/A</v>
      </c>
      <c r="M78" s="48" t="str">
        <f t="shared" si="4"/>
        <v>#N/A</v>
      </c>
      <c r="N78" s="47" t="str">
        <f t="shared" si="5"/>
        <v/>
      </c>
      <c r="O78" s="47">
        <f t="shared" si="6"/>
        <v>0</v>
      </c>
      <c r="P78" s="47" t="str">
        <f>IFERROR(__xludf.DUMMYFUNCTION("REGEXREPLACE(
  INDEX(
    {$S$1:$AQ$1,$AW$1:$BF$1},
    MATCH(
      MAX({
        MAP($T78:$AO78,$V78:$AQ78,LAMBDA(a,c,IF(a=$N78,c))),
        MAP($AX78:$BD78,$AZ78:$BF78,LAMBDA(a,c,IF(a=$N78,c)))
      }),
      {
        MAP($T78:$AO78,$V78:$AQ78,LAMB"&amp;"DA(a,c,IF(a=$N78,c))),
        MAP($AX78:$BD78,$AZ78:$BF78,LAMBDA(a,c,IF(a=$N78,c)))
      },
      0
    )
  ),
  ""^\d+_"",
  """"
)"),"#N/A")</f>
        <v>#N/A</v>
      </c>
      <c r="Q78" s="47" t="str">
        <f t="shared" si="7"/>
        <v>#N/A</v>
      </c>
      <c r="R78" s="47" t="str">
        <f t="shared" si="8"/>
        <v>#N/A</v>
      </c>
      <c r="S78" s="47" t="s">
        <v>1067</v>
      </c>
      <c r="T78" s="48"/>
      <c r="U78" s="48"/>
      <c r="V78" s="48"/>
      <c r="W78" s="48"/>
      <c r="X78" s="47" t="s">
        <v>1068</v>
      </c>
      <c r="Y78" s="48"/>
      <c r="Z78" s="48"/>
      <c r="AA78" s="48"/>
      <c r="AB78" s="48"/>
      <c r="AC78" s="47" t="s">
        <v>1069</v>
      </c>
      <c r="AD78" s="48"/>
      <c r="AE78" s="48"/>
      <c r="AF78" s="48"/>
      <c r="AG78" s="48"/>
      <c r="AH78" s="47" t="s">
        <v>1070</v>
      </c>
      <c r="AI78" s="48"/>
      <c r="AJ78" s="48"/>
      <c r="AK78" s="48"/>
      <c r="AL78" s="48"/>
      <c r="AM78" s="47" t="s">
        <v>1071</v>
      </c>
      <c r="AN78" s="48"/>
      <c r="AO78" s="48"/>
      <c r="AP78" s="48"/>
      <c r="AQ78" s="48"/>
      <c r="AR78" s="47" t="s">
        <v>1072</v>
      </c>
      <c r="AS78" s="48"/>
      <c r="AT78" s="48"/>
      <c r="AU78" s="48"/>
      <c r="AV78" s="48"/>
      <c r="AW78" s="47" t="s">
        <v>1073</v>
      </c>
      <c r="AX78" s="48"/>
      <c r="AY78" s="48"/>
      <c r="AZ78" s="48"/>
      <c r="BA78" s="48"/>
      <c r="BB78" s="47" t="s">
        <v>1074</v>
      </c>
      <c r="BC78" s="48"/>
      <c r="BD78" s="48"/>
      <c r="BE78" s="48"/>
      <c r="BF78" s="48"/>
      <c r="BG78" s="47" t="s">
        <v>1075</v>
      </c>
      <c r="BH78" s="48"/>
      <c r="BI78" s="48"/>
      <c r="BJ78" s="48"/>
      <c r="BK78" s="48"/>
      <c r="BL78" s="47" t="s">
        <v>1076</v>
      </c>
      <c r="BM78" s="48"/>
      <c r="BN78" s="48"/>
      <c r="BO78" s="48"/>
    </row>
  </sheetData>
  <mergeCells count="12">
    <mergeCell ref="AW1:BA1"/>
    <mergeCell ref="BB1:BF1"/>
    <mergeCell ref="BG1:BK1"/>
    <mergeCell ref="BL1:BO1"/>
    <mergeCell ref="I1:R1"/>
    <mergeCell ref="S1:W1"/>
    <mergeCell ref="X1:AB1"/>
    <mergeCell ref="AC1:AG1"/>
    <mergeCell ref="AH1:AL1"/>
    <mergeCell ref="AM1:AQ1"/>
    <mergeCell ref="AR1:AV1"/>
    <mergeCell ref="C2:F2"/>
  </mergeCells>
  <conditionalFormatting sqref="N2:R78 I4:I78">
    <cfRule type="cellIs" dxfId="0" priority="1" operator="equal">
      <formula>"5단계"</formula>
    </cfRule>
  </conditionalFormatting>
  <conditionalFormatting sqref="N2:R78 I4:I78">
    <cfRule type="cellIs" dxfId="0" priority="2" operator="equal">
      <formula>"4단계"</formula>
    </cfRule>
  </conditionalFormatting>
  <conditionalFormatting sqref="N2:R78 I4:I78">
    <cfRule type="cellIs" dxfId="0" priority="3" operator="equal">
      <formula>"3단계"</formula>
    </cfRule>
  </conditionalFormatting>
  <conditionalFormatting sqref="I1:M78">
    <cfRule type="cellIs" dxfId="0" priority="4" operator="greaterThanOrEqual">
      <formula>54</formula>
    </cfRule>
  </conditionalFormatting>
  <conditionalFormatting sqref="N2:R78 I4:I78">
    <cfRule type="cellIs" dxfId="0" priority="5" operator="equal">
      <formula>"3단계"</formula>
    </cfRule>
  </conditionalFormatting>
  <dataValidations>
    <dataValidation type="list" allowBlank="1" showErrorMessage="1" sqref="T4:T78 Y4:Y78 AD4:AD78 AI4:AI78 AN4:AN78 AS4:AS78 AX4:AX78 BC4:BC78 BH4:BH78 BM4:BM78">
      <formula1>"5단계,4단계,3단계,2단계,1단계"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